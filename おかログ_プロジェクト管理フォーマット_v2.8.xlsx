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使い方" sheetId="1" state="visible" r:id="rId3"/>
    <sheet name="①要件定義書" sheetId="2" state="visible" r:id="rId4"/>
    <sheet name="②基本設計書" sheetId="3" state="visible" r:id="rId5"/>
    <sheet name="③詳細設計書" sheetId="4" state="visible" r:id="rId6"/>
    <sheet name="④テストケース管理" sheetId="5" state="visible" r:id="rId7"/>
    <sheet name="⑤セキュリティチェックリスト" sheetId="6" state="visible" r:id="rId8"/>
    <sheet name="⑥マネタイズ計画" sheetId="7" state="visible" r:id="rId9"/>
    <sheet name="⑦スケジュール管理(予実)" sheetId="8" state="visible" r:id="rId10"/>
    <sheet name="⑧予算管理(予実)" sheetId="9" state="visible" r:id="rId11"/>
    <sheet name="⑨課題・リスク管理" sheetId="10" state="visible" r:id="rId12"/>
    <sheet name="⑩変更履歴"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<sst xmlns="http://schemas.openxmlformats.org/spreadsheetml/2006/main" count="1205" uniqueCount="725">
  <si>
    <r>
      <rPr>
        <b val="true"/>
        <sz val="20"/>
        <color rgb="FF1F3864"/>
        <rFont val="Yu Gothic"/>
        <family val="0"/>
        <charset val="1"/>
      </rPr>
      <t xml:space="preserve">AI</t>
    </r>
    <r>
      <rPr>
        <b val="true"/>
        <sz val="20"/>
        <color rgb="FF1F3864"/>
        <rFont val="Noto Sans CJK SC"/>
        <family val="2"/>
      </rPr>
      <t xml:space="preserve">開発プロジェクト管理フォーマット</t>
    </r>
  </si>
  <si>
    <t xml:space="preserve">要件定義〜詳細設計〜マネタイズ〜スケジュール／予算(予実)を1冊で管理するテンプレート</t>
  </si>
  <si>
    <t xml:space="preserve">■ プロジェクト基本情報（ここに入力してください）</t>
  </si>
  <si>
    <t xml:space="preserve">プロジェクト名</t>
  </si>
  <si>
    <t xml:space="preserve">おかログ</t>
  </si>
  <si>
    <t xml:space="preserve">プロジェクト概要（一言で）</t>
  </si>
  <si>
    <t xml:space="preserve">大阪キタ・ミナミの「本当に行ってよかった店」だけを載せる、信頼特化型グルメ検索サービス</t>
  </si>
  <si>
    <t xml:space="preserve">プロジェクトオーナー</t>
  </si>
  <si>
    <t xml:space="preserve">（ご自身のお名前・ニックネームを入力してください）</t>
  </si>
  <si>
    <t xml:space="preserve">開発体制（自分／外部委託／AI活用 等）</t>
  </si>
  <si>
    <t xml:space="preserve">自分1名（非エンジニア）＋ AI（Claude）で開発。必要に応じて外部委託も検討</t>
  </si>
  <si>
    <t xml:space="preserve">作成日</t>
  </si>
  <si>
    <t xml:space="preserve">最終更新日</t>
  </si>
  <si>
    <t xml:space="preserve">バージョン</t>
  </si>
  <si>
    <t xml:space="preserve">v1.0</t>
  </si>
  <si>
    <t xml:space="preserve">■ 各シートの使い方</t>
  </si>
  <si>
    <t xml:space="preserve">① 要件定義書</t>
  </si>
  <si>
    <t xml:space="preserve">「何を」「なぜ」作るかを言語化するシート。目的・ユーザー・機能要件・非機能要件・制約条件などを整理します。開発の一番最初、かつAIに要件を伝える前に必ず埋めましょう。</t>
  </si>
  <si>
    <t xml:space="preserve">② 基本設計書</t>
  </si>
  <si>
    <t xml:space="preserve">要件を「システムとしてどう実現するか」に落とし込むシート。画面一覧、機能一覧、システム構成、データ設計の概要、外部連携方針などを記載します。</t>
  </si>
  <si>
    <t xml:space="preserve">③ 詳細設計書</t>
  </si>
  <si>
    <t xml:space="preserve">基本設計をさらに具体化し、画面・機能ごとの入出力項目、処理ロジック、バリデーション、DB項目などを記載します。AIにコーディングを依頼する際の仕様書として使えます。</t>
  </si>
  <si>
    <t xml:space="preserve">④ テストケース管理</t>
  </si>
  <si>
    <t xml:space="preserve">テスト計画、正常系／異常系／境界値を意識したテストケース、バグ・不具合の管理を行います。抜け漏れのある実装を防ぐための最終防衛ラインです。</t>
  </si>
  <si>
    <t xml:space="preserve">⑤ セキュリティチェックリスト</t>
  </si>
  <si>
    <t xml:space="preserve">認証、入力値検証、通信・機密情報、インフラ、ログ監視、個人情報・法令対応など8分類・約36項目でセキュリティ事故を防ぎます。リリース前に必ず確認しましょう。</t>
  </si>
  <si>
    <t xml:space="preserve">⑥ マネタイズ計画</t>
  </si>
  <si>
    <t xml:space="preserve">収益モデル、価格設定、売上シミュレーション、コスト構造、損益分岐点、KPIを管理します。</t>
  </si>
  <si>
    <t xml:space="preserve">⑦ スケジュール管理(予実)</t>
  </si>
  <si>
    <t xml:space="preserve">タスクごとの予定と実績（開始日・終了日・進捗）を管理し、遅延を自動検出します。月次ガントチャート付き。</t>
  </si>
  <si>
    <t xml:space="preserve">⑧ 予算管理(予実)</t>
  </si>
  <si>
    <t xml:space="preserve">月次の予算と実績（収入・支出・損益）を入力すると、差異を自動計算します。</t>
  </si>
  <si>
    <t xml:space="preserve">⑨ 課題・リスク管理</t>
  </si>
  <si>
    <t xml:space="preserve">開発中に出てきた課題やリスクを記録し、対応状況を追跡します。</t>
  </si>
  <si>
    <t xml:space="preserve">⑩ 変更履歴</t>
  </si>
  <si>
    <t xml:space="preserve">このファイル自体の更新履歴を残すシートです。</t>
  </si>
  <si>
    <t xml:space="preserve">■ 使い方のポイント</t>
  </si>
  <si>
    <t xml:space="preserve">・青文字のセルは入力欄です。黒文字は自動計算（数式）なので基本的に直接編集しないでください。</t>
  </si>
  <si>
    <t xml:space="preserve">・各表には記入例（グレーの斜体）を入れています。内容を書き換えて使ってください。</t>
  </si>
  <si>
    <t xml:space="preserve">・「優先度」「ステータス」列はセルをクリックするとプルダウンで選択できます。</t>
  </si>
  <si>
    <t xml:space="preserve">・要件定義→基本設計→詳細設計の順に粒度を細かくしていくのが基本です。迷ったら要件定義書から埋めましょう。</t>
  </si>
  <si>
    <t xml:space="preserve">・AIに開発を依頼する際は、要件定義書・基本設計書・詳細設計書をそのまま貼り付けるとブレの少ない指示になります。</t>
  </si>
  <si>
    <t xml:space="preserve">・詳細設計が固まったら、④テストケース管理で正常系・異常系・境界値のテストを洗い出しておくと、実装後の手戻りが減ります。</t>
  </si>
  <si>
    <t xml:space="preserve">・⑤セキュリティチェックリストはリリース前に必ず全項目を確認しましょう。判断に迷う項目はAIに「この項目は自分の構成でどう対応すればいいか」と具体的に聞くと実装方法まで教えてくれます。</t>
  </si>
  <si>
    <t xml:space="preserve">要件定義書（Requirements Definition）</t>
  </si>
  <si>
    <t xml:space="preserve">No</t>
  </si>
  <si>
    <t xml:space="preserve">大分類</t>
  </si>
  <si>
    <t xml:space="preserve">項目</t>
  </si>
  <si>
    <t xml:space="preserve">要件内容（記入例あり／書き換えて使用）</t>
  </si>
  <si>
    <t xml:space="preserve">優先度</t>
  </si>
  <si>
    <t xml:space="preserve">ステータス</t>
  </si>
  <si>
    <t xml:space="preserve">担当</t>
  </si>
  <si>
    <t xml:space="preserve">検討事項</t>
  </si>
  <si>
    <t xml:space="preserve">備考</t>
  </si>
  <si>
    <r>
      <rPr>
        <b val="true"/>
        <sz val="11"/>
        <color rgb="FF000000"/>
        <rFont val="Yu Gothic"/>
        <family val="0"/>
        <charset val="1"/>
      </rPr>
      <t xml:space="preserve">1. </t>
    </r>
    <r>
      <rPr>
        <b val="true"/>
        <sz val="11"/>
        <color rgb="FF000000"/>
        <rFont val="Noto Sans CJK SC"/>
        <family val="2"/>
      </rPr>
      <t xml:space="preserve">プロジェクト概要</t>
    </r>
  </si>
  <si>
    <t xml:space="preserve">プロジェクト概要</t>
  </si>
  <si>
    <t xml:space="preserve">背景・目的</t>
  </si>
  <si>
    <t xml:space="preserve">個人的に「本当に良かった店」を厳選して記録したいが、Excelやメモでは検索性が低く、外部に信頼できる形で共有もできていない。将来的には安定収益を生む資産に育てたい。</t>
  </si>
  <si>
    <t xml:space="preserve">確定</t>
  </si>
  <si>
    <t xml:space="preserve">自分</t>
  </si>
  <si>
    <t xml:space="preserve">実現したいゴール</t>
  </si>
  <si>
    <t xml:space="preserve">エリア・ジャンル・利用シーンから瞬時に検索でき、月間数千PV〜を安定して集める。まずは大阪キタ・ミナミで実績を作り、軌道に乗り次第、他エリアへ段階的に拡大して収益とユーザー数を伸ばす。</t>
  </si>
  <si>
    <t xml:space="preserve">現在は大阪中心だが、エリアは拡大出来た方が収益性が上がるため広げることで拡大していく予定</t>
  </si>
  <si>
    <t xml:space="preserve">→ エリアは「都道府県 → 市区町村 → エリア（繁華街）」の3階層で管理。大阪市内は食べログ等を参考にキタ（梅田・北新地・中之島）／ミナミ（心斎橋・難波・道頓堀）等に細分化。ジャンルも大手グルメサイトの人気20ジャンルに準拠：居酒屋／焼肉・ホルモン／焼き鳥／寿司・海鮮／和食・日本料理／うどん・そば／お好み焼き・鉄板焼き／ラーメン／カレー／中華料理／韓国料理／アジア・エスニック料理／イタリアン／フレンチ／洋食・ステーキ・ハンバーグ／天ぷら・とんかつ／すき焼き・しゃぶしゃぶ・鍋／バー・お酒／カフェ・喫茶店／スイーツ・パン（全20種、食べログ等大手グルメサイトの人気ジャンルを参考に設定）</t>
  </si>
  <si>
    <t xml:space="preserve">スコープ（対象範囲）</t>
  </si>
  <si>
    <t xml:space="preserve">お店の検索・一覧閲覧・地図表示。Googleアカウント認証による4段階権限（オーナー／編集者／ログインユーザー／閲覧のみ）。CSV一括登録・出力（オーナー限定）。口コミ投稿（ログインユーザー）。</t>
  </si>
  <si>
    <t xml:space="preserve">認証も合言葉による制限をしているが、別の方法の方が拡大しやすければその認証方法に変えるようにする。合言葉はらくだったが、ベストではない認識。</t>
  </si>
  <si>
    <t xml:space="preserve">→ 合言葉方式は廃止し、Googleログイン＋許可リスト方式に変更（理由・設計は②基本設計書No.17、本シートNo.20参照）</t>
  </si>
  <si>
    <t xml:space="preserve">スコープ外（やらないこと）</t>
  </si>
  <si>
    <t xml:space="preserve">ユーザーによる会員登録・レビュー投稿機能。決済機能（当面はアフィリエイト送客のみで完結）。多言語対応。</t>
  </si>
  <si>
    <r>
      <rPr>
        <b val="true"/>
        <sz val="11"/>
        <color rgb="FF000000"/>
        <rFont val="Yu Gothic"/>
        <family val="0"/>
        <charset val="1"/>
      </rPr>
      <t xml:space="preserve">2. </t>
    </r>
    <r>
      <rPr>
        <b val="true"/>
        <sz val="11"/>
        <color rgb="FF000000"/>
        <rFont val="Noto Sans CJK SC"/>
        <family val="2"/>
      </rPr>
      <t xml:space="preserve">ターゲットユーザー</t>
    </r>
  </si>
  <si>
    <t xml:space="preserve">ターゲットユーザー</t>
  </si>
  <si>
    <t xml:space="preserve">メインターゲット（ペルソナ）</t>
  </si>
  <si>
    <t xml:space="preserve">大阪キタ・ミナミ周辺で「外れない店」を探したい20〜40代。自分の店選びの基準に共感してくれる層。</t>
  </si>
  <si>
    <t xml:space="preserve">想定利用シーン</t>
  </si>
  <si>
    <t xml:space="preserve">接待・デート・一人飲みなど目的に応じた店選び時。飲み会の幹事をする時。</t>
  </si>
  <si>
    <t xml:space="preserve">ユーザーの課題・ニーズ</t>
  </si>
  <si>
    <t xml:space="preserve">大手グルメサイトは情報が多すぎて選びきれない、広告色が強く信頼しづらい。「厳選された情報」だけが欲しい。</t>
  </si>
  <si>
    <r>
      <rPr>
        <b val="true"/>
        <sz val="11"/>
        <color rgb="FF000000"/>
        <rFont val="Yu Gothic"/>
        <family val="0"/>
        <charset val="1"/>
      </rPr>
      <t xml:space="preserve">3. </t>
    </r>
    <r>
      <rPr>
        <b val="true"/>
        <sz val="11"/>
        <color rgb="FF000000"/>
        <rFont val="Noto Sans CJK SC"/>
        <family val="2"/>
      </rPr>
      <t xml:space="preserve">ビジネス要件</t>
    </r>
  </si>
  <si>
    <t xml:space="preserve">ビジネス要件</t>
  </si>
  <si>
    <t xml:space="preserve">達成したいKPI</t>
  </si>
  <si>
    <t xml:space="preserve">月間PV 5,000、掲載店舗数150件、月間送客（予約）件数100件（詳細は⑥マネタイズ計画シート参照）</t>
  </si>
  <si>
    <t xml:space="preserve">想定売上規模</t>
  </si>
  <si>
    <t xml:space="preserve">月商1〜2万円（アフィリエイト中心）→ 将来的に数万円規模へ（詳細は⑥マネタイズ計画シート参照）</t>
  </si>
  <si>
    <t xml:space="preserve">想定リリース時期</t>
  </si>
  <si>
    <r>
      <rPr>
        <sz val="10"/>
        <color rgb="FF000000"/>
        <rFont val="Noto Sans"/>
        <family val="0"/>
        <charset val="1"/>
      </rPr>
      <t xml:space="preserve">2026</t>
    </r>
    <r>
      <rPr>
        <sz val="10"/>
        <color rgb="FF000000"/>
        <rFont val="Noto Sans CJK SC"/>
        <family val="2"/>
      </rPr>
      <t xml:space="preserve">年</t>
    </r>
    <r>
      <rPr>
        <sz val="10"/>
        <color rgb="FF000000"/>
        <rFont val="Noto Sans"/>
        <family val="0"/>
        <charset val="1"/>
      </rPr>
      <t xml:space="preserve">9</t>
    </r>
    <r>
      <rPr>
        <sz val="10"/>
        <color rgb="FF000000"/>
        <rFont val="Noto Sans CJK SC"/>
        <family val="2"/>
      </rPr>
      <t xml:space="preserve">月中旬 </t>
    </r>
    <r>
      <rPr>
        <sz val="10"/>
        <color rgb="FF000000"/>
        <rFont val="Noto Sans"/>
        <family val="0"/>
        <charset val="1"/>
      </rPr>
      <t xml:space="preserve">α</t>
    </r>
    <r>
      <rPr>
        <sz val="10"/>
        <color rgb="FF000000"/>
        <rFont val="Noto Sans CJK SC"/>
        <family val="2"/>
      </rPr>
      <t xml:space="preserve">版（検索・閲覧のみ）公開、以降フェーズごとに機能追加</t>
    </r>
  </si>
  <si>
    <r>
      <rPr>
        <b val="true"/>
        <sz val="11"/>
        <color rgb="FF000000"/>
        <rFont val="Yu Gothic"/>
        <family val="0"/>
        <charset val="1"/>
      </rPr>
      <t xml:space="preserve">4. </t>
    </r>
    <r>
      <rPr>
        <b val="true"/>
        <sz val="11"/>
        <color rgb="FF000000"/>
        <rFont val="Noto Sans CJK SC"/>
        <family val="2"/>
      </rPr>
      <t xml:space="preserve">機能要件（必須機能）</t>
    </r>
  </si>
  <si>
    <t xml:space="preserve">機能要件（必須機能）</t>
  </si>
  <si>
    <t xml:space="preserve">機能1</t>
  </si>
  <si>
    <t xml:space="preserve">お店の検索・絞り込み（都道府県・エリア・ジャンル・シーンのクロス検索）</t>
  </si>
  <si>
    <t xml:space="preserve">必須</t>
  </si>
  <si>
    <t xml:space="preserve">機能2</t>
  </si>
  <si>
    <r>
      <rPr>
        <sz val="10"/>
        <color rgb="FF000000"/>
        <rFont val="Noto Sans"/>
        <family val="0"/>
        <charset val="1"/>
      </rPr>
      <t xml:space="preserve">Google Maps</t>
    </r>
    <r>
      <rPr>
        <sz val="10"/>
        <color rgb="FF000000"/>
        <rFont val="Noto Sans CJK SC"/>
        <family val="2"/>
      </rPr>
      <t xml:space="preserve">連動（リスト選択で地図ピンが即時連動表示）</t>
    </r>
  </si>
  <si>
    <t xml:space="preserve">機能3</t>
  </si>
  <si>
    <t xml:space="preserve">状態保持（外部予約サイトから戻った際に検索条件・スクロール位置を自動復元）</t>
  </si>
  <si>
    <t xml:space="preserve">推奨</t>
  </si>
  <si>
    <t xml:space="preserve">機能4</t>
  </si>
  <si>
    <r>
      <rPr>
        <sz val="10"/>
        <color rgb="FF000000"/>
        <rFont val="Noto Sans"/>
        <family val="0"/>
        <charset val="1"/>
      </rPr>
      <t xml:space="preserve">Google</t>
    </r>
    <r>
      <rPr>
        <sz val="10"/>
        <color rgb="FF000000"/>
        <rFont val="Noto Sans CJK SC"/>
        <family val="2"/>
      </rPr>
      <t xml:space="preserve">アカウントによるログイン。ログイン後、権限（オーナー／編集者／ログインユーザー</t>
    </r>
    <r>
      <rPr>
        <sz val="10"/>
        <color rgb="FF000000"/>
        <rFont val="Noto Sans"/>
        <family val="0"/>
        <charset val="1"/>
      </rPr>
      <t xml:space="preserve">(member)</t>
    </r>
    <r>
      <rPr>
        <sz val="10"/>
        <color rgb="FF000000"/>
        <rFont val="Noto Sans CJK SC"/>
        <family val="2"/>
      </rPr>
      <t xml:space="preserve">）を</t>
    </r>
    <r>
      <rPr>
        <sz val="10"/>
        <color rgb="FF000000"/>
        <rFont val="Noto Sans"/>
        <family val="0"/>
        <charset val="1"/>
      </rPr>
      <t xml:space="preserve">users</t>
    </r>
    <r>
      <rPr>
        <sz val="10"/>
        <color rgb="FF000000"/>
        <rFont val="Noto Sans CJK SC"/>
        <family val="2"/>
      </rPr>
      <t xml:space="preserve">コレクションの</t>
    </r>
    <r>
      <rPr>
        <sz val="10"/>
        <color rgb="FF000000"/>
        <rFont val="Noto Sans"/>
        <family val="0"/>
        <charset val="1"/>
      </rPr>
      <t xml:space="preserve">role</t>
    </r>
    <r>
      <rPr>
        <sz val="10"/>
        <color rgb="FF000000"/>
        <rFont val="Noto Sans CJK SC"/>
        <family val="2"/>
      </rPr>
      <t xml:space="preserve">で判定。閲覧のみはログイン不要</t>
    </r>
  </si>
  <si>
    <t xml:space="preserve">使用者の利便性を意識し別案検討が必要</t>
  </si>
  <si>
    <t xml:space="preserve">→ 4段階の権限モデルに変更（詳細は②基本設計書No.19、備考参照）</t>
  </si>
  <si>
    <t xml:space="preserve">機能5</t>
  </si>
  <si>
    <t xml:space="preserve">編集者・オーナーによるお店の追加・編集。削除は編集者不可（削除依頼のみ）、オーナーだけが実行可能</t>
  </si>
  <si>
    <t xml:space="preserve">数人の削除権限ある人がいればいい。
最低自分一人でいい</t>
  </si>
  <si>
    <t xml:space="preserve">→ 2026-07-08 最終決定：編集者は「削除依頼」までとし、実削除はオーナー限定に変更（誤操作防止を優先）</t>
  </si>
  <si>
    <t xml:space="preserve">機能6</t>
  </si>
  <si>
    <t xml:space="preserve">オーナーによるCSV一括インポート（上書き）／エクスポート（オーナー限定機能）</t>
  </si>
  <si>
    <r>
      <rPr>
        <b val="true"/>
        <sz val="11"/>
        <color rgb="FF000000"/>
        <rFont val="Yu Gothic"/>
        <family val="0"/>
        <charset val="1"/>
      </rPr>
      <t xml:space="preserve">4. </t>
    </r>
    <r>
      <rPr>
        <b val="true"/>
        <sz val="11"/>
        <color rgb="FF000000"/>
        <rFont val="Noto Sans CJK SC"/>
        <family val="2"/>
      </rPr>
      <t xml:space="preserve">機能要件（あったら良い機能）</t>
    </r>
  </si>
  <si>
    <t xml:space="preserve">機能要件（あったら良い機能）</t>
  </si>
  <si>
    <t xml:space="preserve">拡張機能1</t>
  </si>
  <si>
    <t xml:space="preserve">ログインユーザーによる口コミ投稿・店舗情報の改善依頼、表示名の変更</t>
  </si>
  <si>
    <t xml:space="preserve">拡張機能2</t>
  </si>
  <si>
    <t xml:space="preserve">行きたい店リスト（wishlist）：ログインユーザーが行きたい店を登録し、匿名登録も選択可能。他の人が訪問後に感想を投稿できる</t>
  </si>
  <si>
    <t xml:space="preserve">任意</t>
  </si>
  <si>
    <t xml:space="preserve">→ 行きたい店リストと正式なお店リストは別物として運用（行きたい店＝誰でも即登録、正式なお店＝編集者・オーナーのみ）。感想がついた行きたい店を、編集者・オーナーがワンクリックで正式登録フォームへ引き継げる導線を追加（2026-07-09）</t>
  </si>
  <si>
    <r>
      <rPr>
        <b val="true"/>
        <sz val="11"/>
        <color rgb="FF000000"/>
        <rFont val="Yu Gothic"/>
        <family val="0"/>
        <charset val="1"/>
      </rPr>
      <t xml:space="preserve">5. </t>
    </r>
    <r>
      <rPr>
        <b val="true"/>
        <sz val="11"/>
        <color rgb="FF000000"/>
        <rFont val="Noto Sans CJK SC"/>
        <family val="2"/>
      </rPr>
      <t xml:space="preserve">非機能要件</t>
    </r>
  </si>
  <si>
    <t xml:space="preserve">非機能要件</t>
  </si>
  <si>
    <t xml:space="preserve">性能（応答速度・同時接続数）</t>
  </si>
  <si>
    <t xml:space="preserve">画面表示は3秒以内。個人運用規模のため同時アクセスは数十人程度を想定</t>
  </si>
  <si>
    <t xml:space="preserve">セキュリティ</t>
  </si>
  <si>
    <t xml:space="preserve">Firestoreのセキュリティルールで4段階の権限（オーナー／編集者／ログインユーザー／閲覧のみ）ごとに読み書き範囲を制御。CSV一括インポートはCloud Function経由でオーナーのみ実行可能に制限</t>
  </si>
  <si>
    <t xml:space="preserve">可用性（稼働率・バックアップ）</t>
  </si>
  <si>
    <r>
      <rPr>
        <sz val="10"/>
        <color rgb="FF000000"/>
        <rFont val="Noto Sans"/>
        <family val="0"/>
        <charset val="1"/>
      </rPr>
      <t xml:space="preserve">Firebase</t>
    </r>
    <r>
      <rPr>
        <sz val="10"/>
        <color rgb="FF000000"/>
        <rFont val="Noto Sans CJK SC"/>
        <family val="2"/>
      </rPr>
      <t xml:space="preserve">／</t>
    </r>
    <r>
      <rPr>
        <sz val="10"/>
        <color rgb="FF000000"/>
        <rFont val="Noto Sans"/>
        <family val="0"/>
        <charset val="1"/>
      </rPr>
      <t xml:space="preserve">Vercel</t>
    </r>
    <r>
      <rPr>
        <sz val="10"/>
        <color rgb="FF000000"/>
        <rFont val="Noto Sans CJK SC"/>
        <family val="2"/>
      </rPr>
      <t xml:space="preserve">の標準</t>
    </r>
    <r>
      <rPr>
        <sz val="10"/>
        <color rgb="FF000000"/>
        <rFont val="Noto Sans"/>
        <family val="0"/>
        <charset val="1"/>
      </rPr>
      <t xml:space="preserve">SLA</t>
    </r>
    <r>
      <rPr>
        <sz val="10"/>
        <color rgb="FF000000"/>
        <rFont val="Noto Sans CJK SC"/>
        <family val="2"/>
      </rPr>
      <t xml:space="preserve">に依存。バックアップとして</t>
    </r>
    <r>
      <rPr>
        <sz val="10"/>
        <color rgb="FF000000"/>
        <rFont val="Noto Sans"/>
        <family val="0"/>
        <charset val="1"/>
      </rPr>
      <t xml:space="preserve">CSV</t>
    </r>
    <r>
      <rPr>
        <sz val="10"/>
        <color rgb="FF000000"/>
        <rFont val="Noto Sans CJK SC"/>
        <family val="2"/>
      </rPr>
      <t xml:space="preserve">エクスポートを月</t>
    </r>
    <r>
      <rPr>
        <sz val="10"/>
        <color rgb="FF000000"/>
        <rFont val="Noto Sans"/>
        <family val="0"/>
        <charset val="1"/>
      </rPr>
      <t xml:space="preserve">1</t>
    </r>
    <r>
      <rPr>
        <sz val="10"/>
        <color rgb="FF000000"/>
        <rFont val="Noto Sans CJK SC"/>
        <family val="2"/>
      </rPr>
      <t xml:space="preserve">回手動実施</t>
    </r>
  </si>
  <si>
    <t xml:space="preserve">拡張性（将来の見込み）</t>
  </si>
  <si>
    <t xml:space="preserve">将来的にGoogle認証・マイリスト・複数エリア展開に対応できるデータ構造にしておく</t>
  </si>
  <si>
    <t xml:space="preserve">運用・保守</t>
  </si>
  <si>
    <t xml:space="preserve">月1回のアクセス状況確認、店舗情報の定期更新。障害時はVercel／Firebaseのステータスを確認</t>
  </si>
  <si>
    <t xml:space="preserve">対応デバイス・ブラウザ</t>
  </si>
  <si>
    <t xml:space="preserve">スマホ（iOS／Android の最新Safari・Chrome）優先、PC（Chrome／Safari最新版）</t>
  </si>
  <si>
    <r>
      <rPr>
        <b val="true"/>
        <sz val="11"/>
        <color rgb="FF000000"/>
        <rFont val="Yu Gothic"/>
        <family val="0"/>
        <charset val="1"/>
      </rPr>
      <t xml:space="preserve">6. </t>
    </r>
    <r>
      <rPr>
        <b val="true"/>
        <sz val="11"/>
        <color rgb="FF000000"/>
        <rFont val="Noto Sans CJK SC"/>
        <family val="2"/>
      </rPr>
      <t xml:space="preserve">データ要件</t>
    </r>
  </si>
  <si>
    <t xml:space="preserve">データ要件</t>
  </si>
  <si>
    <t xml:space="preserve">主要データ項目</t>
  </si>
  <si>
    <r>
      <rPr>
        <sz val="10"/>
        <color rgb="FF000000"/>
        <rFont val="Noto Sans"/>
        <family val="0"/>
        <charset val="1"/>
      </rPr>
      <t xml:space="preserve">restaurants</t>
    </r>
    <r>
      <rPr>
        <sz val="10"/>
        <color rgb="FF000000"/>
        <rFont val="Noto Sans CJK SC"/>
        <family val="2"/>
      </rPr>
      <t xml:space="preserve">（店名・ジャンル・住所・都道府県・市区町村・エリア・</t>
    </r>
    <r>
      <rPr>
        <sz val="10"/>
        <color rgb="FF000000"/>
        <rFont val="Noto Sans"/>
        <family val="0"/>
        <charset val="1"/>
      </rPr>
      <t xml:space="preserve">URL</t>
    </r>
    <r>
      <rPr>
        <sz val="10"/>
        <color rgb="FF000000"/>
        <rFont val="Noto Sans CJK SC"/>
        <family val="2"/>
      </rPr>
      <t xml:space="preserve">・満足度・シーン・特徴・削除依頼フラグ・更新日時）、</t>
    </r>
    <r>
      <rPr>
        <sz val="10"/>
        <color rgb="FF000000"/>
        <rFont val="Noto Sans"/>
        <family val="0"/>
        <charset val="1"/>
      </rPr>
      <t xml:space="preserve">reviews</t>
    </r>
    <r>
      <rPr>
        <sz val="10"/>
        <color rgb="FF000000"/>
        <rFont val="Noto Sans CJK SC"/>
        <family val="2"/>
      </rPr>
      <t xml:space="preserve">（口コミ）、</t>
    </r>
    <r>
      <rPr>
        <sz val="10"/>
        <color rgb="FF000000"/>
        <rFont val="Noto Sans"/>
        <family val="0"/>
        <charset val="1"/>
      </rPr>
      <t xml:space="preserve">editRequests</t>
    </r>
    <r>
      <rPr>
        <sz val="10"/>
        <color rgb="FF000000"/>
        <rFont val="Noto Sans CJK SC"/>
        <family val="2"/>
      </rPr>
      <t xml:space="preserve">（改善依頼）、</t>
    </r>
    <r>
      <rPr>
        <sz val="10"/>
        <color rgb="FF000000"/>
        <rFont val="Noto Sans"/>
        <family val="0"/>
        <charset val="1"/>
      </rPr>
      <t xml:space="preserve">users</t>
    </r>
    <r>
      <rPr>
        <sz val="10"/>
        <color rgb="FF000000"/>
        <rFont val="Noto Sans CJK SC"/>
        <family val="2"/>
      </rPr>
      <t xml:space="preserve">（アカウント情報・表示名・ロール）</t>
    </r>
  </si>
  <si>
    <t xml:space="preserve">→ エリア拡大に備え、当初から「都道府県」項目を持たせておく（大阪だけを前提にしたデータ構造にしない）</t>
  </si>
  <si>
    <t xml:space="preserve">データ保持期間</t>
  </si>
  <si>
    <t xml:space="preserve">削除依頼されたデータも管理者が承認するまで保持。承認後に完全削除</t>
  </si>
  <si>
    <t xml:space="preserve">個人情報の有無・取扱方針</t>
  </si>
  <si>
    <t xml:space="preserve">ログインユーザーのGoogleアカウントのメールアドレス・表示名を保持（表示名は本人が変更可能）。ログイン機能の追加に伴いプライバシーポリシーの掲載が必要</t>
  </si>
  <si>
    <r>
      <rPr>
        <b val="true"/>
        <sz val="11"/>
        <color rgb="FF000000"/>
        <rFont val="Yu Gothic"/>
        <family val="0"/>
        <charset val="1"/>
      </rPr>
      <t xml:space="preserve">7. </t>
    </r>
    <r>
      <rPr>
        <b val="true"/>
        <sz val="11"/>
        <color rgb="FF000000"/>
        <rFont val="Noto Sans CJK SC"/>
        <family val="2"/>
      </rPr>
      <t xml:space="preserve">外部連携要件</t>
    </r>
  </si>
  <si>
    <t xml:space="preserve">外部連携要件</t>
  </si>
  <si>
    <t xml:space="preserve">外部API／サービス連携</t>
  </si>
  <si>
    <r>
      <rPr>
        <sz val="10"/>
        <color rgb="FF000000"/>
        <rFont val="Noto Sans"/>
        <family val="0"/>
        <charset val="1"/>
      </rPr>
      <t xml:space="preserve">Google Maps JavaScript API</t>
    </r>
    <r>
      <rPr>
        <sz val="10"/>
        <color rgb="FF000000"/>
        <rFont val="Noto Sans CJK SC"/>
        <family val="2"/>
      </rPr>
      <t xml:space="preserve">（地図表示・ピン連動）</t>
    </r>
  </si>
  <si>
    <t xml:space="preserve">決済連携</t>
  </si>
  <si>
    <t xml:space="preserve">当面なし（将来的にnote等の外部プラットフォームで決済を代替）</t>
  </si>
  <si>
    <r>
      <rPr>
        <b val="true"/>
        <sz val="11"/>
        <color rgb="FF000000"/>
        <rFont val="Yu Gothic"/>
        <family val="0"/>
        <charset val="1"/>
      </rPr>
      <t xml:space="preserve">8. </t>
    </r>
    <r>
      <rPr>
        <b val="true"/>
        <sz val="11"/>
        <color rgb="FF000000"/>
        <rFont val="Noto Sans CJK SC"/>
        <family val="2"/>
      </rPr>
      <t xml:space="preserve">制約条件</t>
    </r>
  </si>
  <si>
    <t xml:space="preserve">制約条件</t>
  </si>
  <si>
    <t xml:space="preserve">予算上限</t>
  </si>
  <si>
    <t xml:space="preserve">初期費用ほぼ0円（無料枠中心）。年間1〜2万円以内（ドメイン代等）</t>
  </si>
  <si>
    <t xml:space="preserve">納期</t>
  </si>
  <si>
    <r>
      <rPr>
        <sz val="10"/>
        <color rgb="FF000000"/>
        <rFont val="Noto Sans"/>
        <family val="0"/>
        <charset val="1"/>
      </rPr>
      <t xml:space="preserve">2026</t>
    </r>
    <r>
      <rPr>
        <sz val="10"/>
        <color rgb="FF000000"/>
        <rFont val="Noto Sans CJK SC"/>
        <family val="2"/>
      </rPr>
      <t xml:space="preserve">年</t>
    </r>
    <r>
      <rPr>
        <sz val="10"/>
        <color rgb="FF000000"/>
        <rFont val="Noto Sans"/>
        <family val="0"/>
        <charset val="1"/>
      </rPr>
      <t xml:space="preserve">9</t>
    </r>
    <r>
      <rPr>
        <sz val="10"/>
        <color rgb="FF000000"/>
        <rFont val="Noto Sans CJK SC"/>
        <family val="2"/>
      </rPr>
      <t xml:space="preserve">月中旬までに</t>
    </r>
    <r>
      <rPr>
        <sz val="10"/>
        <color rgb="FF000000"/>
        <rFont val="Noto Sans"/>
        <family val="0"/>
        <charset val="1"/>
      </rPr>
      <t xml:space="preserve">α</t>
    </r>
    <r>
      <rPr>
        <sz val="10"/>
        <color rgb="FF000000"/>
        <rFont val="Noto Sans CJK SC"/>
        <family val="2"/>
      </rPr>
      <t xml:space="preserve">版（</t>
    </r>
    <r>
      <rPr>
        <sz val="10"/>
        <color rgb="FF000000"/>
        <rFont val="Noto Sans"/>
        <family val="0"/>
        <charset val="1"/>
      </rPr>
      <t xml:space="preserve">MVP</t>
    </r>
    <r>
      <rPr>
        <sz val="10"/>
        <color rgb="FF000000"/>
        <rFont val="Noto Sans CJK SC"/>
        <family val="2"/>
      </rPr>
      <t xml:space="preserve">）をリリース</t>
    </r>
  </si>
  <si>
    <t xml:space="preserve">使用必須の技術・ツール</t>
  </si>
  <si>
    <r>
      <rPr>
        <sz val="10"/>
        <color rgb="FF000000"/>
        <rFont val="Noto Sans"/>
        <family val="0"/>
        <charset val="1"/>
      </rPr>
      <t xml:space="preserve">Firebase</t>
    </r>
    <r>
      <rPr>
        <sz val="10"/>
        <color rgb="FF000000"/>
        <rFont val="Noto Sans CJK SC"/>
        <family val="2"/>
      </rPr>
      <t xml:space="preserve">（</t>
    </r>
    <r>
      <rPr>
        <sz val="10"/>
        <color rgb="FF000000"/>
        <rFont val="Noto Sans"/>
        <family val="0"/>
        <charset val="1"/>
      </rPr>
      <t xml:space="preserve">Firestore</t>
    </r>
    <r>
      <rPr>
        <sz val="10"/>
        <color rgb="FF000000"/>
        <rFont val="Noto Sans CJK SC"/>
        <family val="2"/>
      </rPr>
      <t xml:space="preserve">／</t>
    </r>
    <r>
      <rPr>
        <sz val="10"/>
        <color rgb="FF000000"/>
        <rFont val="Noto Sans"/>
        <family val="0"/>
        <charset val="1"/>
      </rPr>
      <t xml:space="preserve">Authentication</t>
    </r>
    <r>
      <rPr>
        <sz val="10"/>
        <color rgb="FF000000"/>
        <rFont val="Noto Sans CJK SC"/>
        <family val="2"/>
      </rPr>
      <t xml:space="preserve">）、</t>
    </r>
    <r>
      <rPr>
        <sz val="10"/>
        <color rgb="FF000000"/>
        <rFont val="Noto Sans"/>
        <family val="0"/>
        <charset val="1"/>
      </rPr>
      <t xml:space="preserve">GitHub</t>
    </r>
    <r>
      <rPr>
        <sz val="10"/>
        <color rgb="FF000000"/>
        <rFont val="Noto Sans CJK SC"/>
        <family val="2"/>
      </rPr>
      <t xml:space="preserve">＋</t>
    </r>
    <r>
      <rPr>
        <sz val="10"/>
        <color rgb="FF000000"/>
        <rFont val="Noto Sans"/>
        <family val="0"/>
        <charset val="1"/>
      </rPr>
      <t xml:space="preserve">Vercel</t>
    </r>
    <r>
      <rPr>
        <sz val="10"/>
        <color rgb="FF000000"/>
        <rFont val="Noto Sans CJK SC"/>
        <family val="2"/>
      </rPr>
      <t xml:space="preserve">、</t>
    </r>
    <r>
      <rPr>
        <sz val="10"/>
        <color rgb="FF000000"/>
        <rFont val="Noto Sans"/>
        <family val="0"/>
        <charset val="1"/>
      </rPr>
      <t xml:space="preserve">Tailwind CSS</t>
    </r>
    <r>
      <rPr>
        <sz val="10"/>
        <color rgb="FF000000"/>
        <rFont val="Noto Sans CJK SC"/>
        <family val="2"/>
      </rPr>
      <t xml:space="preserve">。ノーコードは使わず</t>
    </r>
    <r>
      <rPr>
        <sz val="10"/>
        <color rgb="FF000000"/>
        <rFont val="Noto Sans"/>
        <family val="0"/>
        <charset val="1"/>
      </rPr>
      <t xml:space="preserve">Web</t>
    </r>
    <r>
      <rPr>
        <sz val="10"/>
        <color rgb="FF000000"/>
        <rFont val="Noto Sans CJK SC"/>
        <family val="2"/>
      </rPr>
      <t xml:space="preserve">アプリとして構築</t>
    </r>
  </si>
  <si>
    <t xml:space="preserve">法規制・ガイドライン</t>
  </si>
  <si>
    <t xml:space="preserve">アフィリエイト表記（景品表示法）。ログイン機能導入に伴い、プライバシーポリシーの掲載が必要（個人情報保護法）</t>
  </si>
  <si>
    <r>
      <rPr>
        <b val="true"/>
        <sz val="11"/>
        <color rgb="FF000000"/>
        <rFont val="Yu Gothic"/>
        <family val="0"/>
        <charset val="1"/>
      </rPr>
      <t xml:space="preserve">9. </t>
    </r>
    <r>
      <rPr>
        <b val="true"/>
        <sz val="11"/>
        <color rgb="FF000000"/>
        <rFont val="Noto Sans CJK SC"/>
        <family val="2"/>
      </rPr>
      <t xml:space="preserve">前提条件</t>
    </r>
  </si>
  <si>
    <t xml:space="preserve">前提条件</t>
  </si>
  <si>
    <t xml:space="preserve">開発体制</t>
  </si>
  <si>
    <t xml:space="preserve">自分1名（非エンジニア）＋AI（Claude）で開発。必要に応じて一部を外部委託</t>
  </si>
  <si>
    <t xml:space="preserve">利用環境・インフラ前提</t>
  </si>
  <si>
    <t xml:space="preserve">サーバーレス構成（Firebase＋Vercel）。クラウドのみで完結し自前サーバーは持たない</t>
  </si>
  <si>
    <r>
      <rPr>
        <b val="true"/>
        <sz val="11"/>
        <color rgb="FF000000"/>
        <rFont val="Yu Gothic"/>
        <family val="0"/>
        <charset val="1"/>
      </rPr>
      <t xml:space="preserve">10. </t>
    </r>
    <r>
      <rPr>
        <b val="true"/>
        <sz val="11"/>
        <color rgb="FF000000"/>
        <rFont val="Noto Sans CJK SC"/>
        <family val="2"/>
      </rPr>
      <t xml:space="preserve">用語定義</t>
    </r>
  </si>
  <si>
    <t xml:space="preserve">用語定義</t>
  </si>
  <si>
    <t xml:space="preserve">用語1</t>
  </si>
  <si>
    <t xml:space="preserve">「ロール」＝Googleアカウントに紐づく権限区分。オーナー／編集者／ログインユーザー(member)の3種類（閲覧のみはログイン不要のため対象外）</t>
  </si>
  <si>
    <t xml:space="preserve">用語2</t>
  </si>
  <si>
    <t xml:space="preserve">「削除依頼」＝編集者が管理者に対して行う、店舗データ削除のリクエスト</t>
  </si>
  <si>
    <t xml:space="preserve">用語3</t>
  </si>
  <si>
    <t xml:space="preserve">「UGC」＝ユーザー生成コンテンツ（将来のアンバサダー制度で想定）</t>
  </si>
  <si>
    <t xml:space="preserve">基本設計書（Basic Design）</t>
  </si>
  <si>
    <t xml:space="preserve">分類</t>
  </si>
  <si>
    <t xml:space="preserve">内容（記入例あり／書き換えて使用）</t>
  </si>
  <si>
    <r>
      <rPr>
        <b val="true"/>
        <sz val="11"/>
        <color rgb="FF000000"/>
        <rFont val="Yu Gothic"/>
        <family val="0"/>
        <charset val="1"/>
      </rPr>
      <t xml:space="preserve">1. </t>
    </r>
    <r>
      <rPr>
        <b val="true"/>
        <sz val="11"/>
        <color rgb="FF000000"/>
        <rFont val="Noto Sans CJK SC"/>
        <family val="2"/>
      </rPr>
      <t xml:space="preserve">システム構成方針</t>
    </r>
  </si>
  <si>
    <t xml:space="preserve">システム構成方針</t>
  </si>
  <si>
    <t xml:space="preserve">全体アーキテクチャ</t>
  </si>
  <si>
    <t xml:space="preserve">静的フロントエンド（HTML／JavaScript／Tailwind CSS）＋ Firebase Firestore（DB）＋ Firebase Authentication（認証）の2層構成（サーバーレス）</t>
  </si>
  <si>
    <t xml:space="preserve">インフラ・クラウド</t>
  </si>
  <si>
    <r>
      <rPr>
        <sz val="8"/>
        <color rgb="FF000000"/>
        <rFont val="Noto Sans"/>
        <family val="0"/>
        <charset val="1"/>
      </rPr>
      <t xml:space="preserve">Firebase</t>
    </r>
    <r>
      <rPr>
        <sz val="8"/>
        <color rgb="FF000000"/>
        <rFont val="Noto Sans CJK SC"/>
        <family val="2"/>
      </rPr>
      <t xml:space="preserve">（</t>
    </r>
    <r>
      <rPr>
        <sz val="8"/>
        <color rgb="FF000000"/>
        <rFont val="Noto Sans"/>
        <family val="0"/>
        <charset val="1"/>
      </rPr>
      <t xml:space="preserve">Firestore, Authentication</t>
    </r>
    <r>
      <rPr>
        <sz val="8"/>
        <color rgb="FF000000"/>
        <rFont val="Noto Sans CJK SC"/>
        <family val="2"/>
      </rPr>
      <t xml:space="preserve">）＋ </t>
    </r>
    <r>
      <rPr>
        <sz val="8"/>
        <color rgb="FF000000"/>
        <rFont val="Noto Sans"/>
        <family val="0"/>
        <charset val="1"/>
      </rPr>
      <t xml:space="preserve">GitHub </t>
    </r>
    <r>
      <rPr>
        <sz val="8"/>
        <color rgb="FF000000"/>
        <rFont val="Noto Sans CJK SC"/>
        <family val="2"/>
      </rPr>
      <t xml:space="preserve">＋ </t>
    </r>
    <r>
      <rPr>
        <sz val="8"/>
        <color rgb="FF000000"/>
        <rFont val="Noto Sans"/>
        <family val="0"/>
        <charset val="1"/>
      </rPr>
      <t xml:space="preserve">Vercel</t>
    </r>
    <r>
      <rPr>
        <sz val="8"/>
        <color rgb="FF000000"/>
        <rFont val="Noto Sans CJK SC"/>
        <family val="2"/>
      </rPr>
      <t xml:space="preserve">（ホスティング・自動デプロイ）。全て無料枠中心で運用</t>
    </r>
  </si>
  <si>
    <t xml:space="preserve">使用言語・フレームワーク</t>
  </si>
  <si>
    <t xml:space="preserve">フロントエンド：HTML／JavaScript／Tailwind CSS／Lucide Icons（Reactは使わずシンプル構成）</t>
  </si>
  <si>
    <t xml:space="preserve">開発・検証・本番環境の分離</t>
  </si>
  <si>
    <t xml:space="preserve">個人開発のためdev/本番は最小限に分離。Vercelのプレビューデプロイを検証環境として活用</t>
  </si>
  <si>
    <r>
      <rPr>
        <b val="true"/>
        <sz val="11"/>
        <color rgb="FF000000"/>
        <rFont val="Yu Gothic"/>
        <family val="0"/>
        <charset val="1"/>
      </rPr>
      <t xml:space="preserve">2. </t>
    </r>
    <r>
      <rPr>
        <b val="true"/>
        <sz val="11"/>
        <color rgb="FF000000"/>
        <rFont val="Noto Sans CJK SC"/>
        <family val="2"/>
      </rPr>
      <t xml:space="preserve">画面設計方針</t>
    </r>
  </si>
  <si>
    <t xml:space="preserve">画面設計方針</t>
  </si>
  <si>
    <t xml:space="preserve">画面数・画面構成の考え方</t>
  </si>
  <si>
    <t xml:space="preserve">ホーム画面にタブ切替（実際に行って良かった店／行ってみたい店）を実装。旧wishlist.htmlは統合先へのリダイレクトページ化</t>
  </si>
  <si>
    <t xml:space="preserve">レスポンシブ対応方針</t>
  </si>
  <si>
    <t xml:space="preserve">都道府県プルダウン→エリアプルダウン（市区町村を挟まず直結、選択都道府県内の全エリアを一覧表示）、ジャンル・利用シーンも単一選択のプルダウン形式に統一。全項目が選択変更と同時に一覧へ即反映される（絞り込みボタン不要）</t>
  </si>
  <si>
    <r>
      <rPr>
        <b val="true"/>
        <sz val="11"/>
        <color rgb="FF000000"/>
        <rFont val="Yu Gothic"/>
        <family val="0"/>
        <charset val="1"/>
      </rPr>
      <t xml:space="preserve">3. </t>
    </r>
    <r>
      <rPr>
        <b val="true"/>
        <sz val="11"/>
        <color rgb="FF000000"/>
        <rFont val="Noto Sans CJK SC"/>
        <family val="2"/>
      </rPr>
      <t xml:space="preserve">データ設計方針（概要）</t>
    </r>
  </si>
  <si>
    <t xml:space="preserve">データ設計方針（概要）</t>
  </si>
  <si>
    <t xml:space="preserve">主要エンティティ（テーブル）</t>
  </si>
  <si>
    <r>
      <rPr>
        <sz val="10"/>
        <color rgb="FF000000"/>
        <rFont val="Noto Sans"/>
        <family val="0"/>
        <charset val="1"/>
      </rPr>
      <t xml:space="preserve">restaurants</t>
    </r>
    <r>
      <rPr>
        <sz val="10"/>
        <color rgb="FF000000"/>
        <rFont val="Noto Sans CJK SC"/>
        <family val="2"/>
      </rPr>
      <t xml:space="preserve">、</t>
    </r>
    <r>
      <rPr>
        <sz val="10"/>
        <color rgb="FF000000"/>
        <rFont val="Noto Sans"/>
        <family val="0"/>
        <charset val="1"/>
      </rPr>
      <t xml:space="preserve">users</t>
    </r>
    <r>
      <rPr>
        <sz val="10"/>
        <color rgb="FF000000"/>
        <rFont val="Noto Sans CJK SC"/>
        <family val="2"/>
      </rPr>
      <t xml:space="preserve">（ロール管理）、</t>
    </r>
    <r>
      <rPr>
        <sz val="10"/>
        <color rgb="FF000000"/>
        <rFont val="Noto Sans"/>
        <family val="0"/>
        <charset val="1"/>
      </rPr>
      <t xml:space="preserve">reviews</t>
    </r>
    <r>
      <rPr>
        <sz val="10"/>
        <color rgb="FF000000"/>
        <rFont val="Noto Sans CJK SC"/>
        <family val="2"/>
      </rPr>
      <t xml:space="preserve">（口コミ）、</t>
    </r>
    <r>
      <rPr>
        <sz val="10"/>
        <color rgb="FF000000"/>
        <rFont val="Noto Sans"/>
        <family val="0"/>
        <charset val="1"/>
      </rPr>
      <t xml:space="preserve">editRequests</t>
    </r>
    <r>
      <rPr>
        <sz val="10"/>
        <color rgb="FF000000"/>
        <rFont val="Noto Sans CJK SC"/>
        <family val="2"/>
      </rPr>
      <t xml:space="preserve">（改善依頼）、</t>
    </r>
    <r>
      <rPr>
        <sz val="10"/>
        <color rgb="FF000000"/>
        <rFont val="Noto Sans"/>
        <family val="0"/>
        <charset val="1"/>
      </rPr>
      <t xml:space="preserve">wishlist</t>
    </r>
    <r>
      <rPr>
        <sz val="10"/>
        <color rgb="FF000000"/>
        <rFont val="Noto Sans CJK SC"/>
        <family val="2"/>
      </rPr>
      <t xml:space="preserve">（行きたい店リスト）の</t>
    </r>
    <r>
      <rPr>
        <sz val="10"/>
        <color rgb="FF000000"/>
        <rFont val="Noto Sans"/>
        <family val="0"/>
        <charset val="1"/>
      </rPr>
      <t xml:space="preserve">5</t>
    </r>
    <r>
      <rPr>
        <sz val="10"/>
        <color rgb="FF000000"/>
        <rFont val="Noto Sans CJK SC"/>
        <family val="2"/>
      </rPr>
      <t xml:space="preserve">コレクション構成</t>
    </r>
  </si>
  <si>
    <r>
      <rPr>
        <sz val="10"/>
        <color rgb="FF000000"/>
        <rFont val="Noto Sans"/>
        <family val="0"/>
        <charset val="1"/>
      </rPr>
      <t xml:space="preserve">→ wishlist</t>
    </r>
    <r>
      <rPr>
        <sz val="10"/>
        <color rgb="FF000000"/>
        <rFont val="Noto Sans CJK SC"/>
        <family val="2"/>
      </rPr>
      <t xml:space="preserve">（行きたい店）→</t>
    </r>
    <r>
      <rPr>
        <sz val="10"/>
        <color rgb="FF000000"/>
        <rFont val="Noto Sans"/>
        <family val="0"/>
        <charset val="1"/>
      </rPr>
      <t xml:space="preserve">restaurants</t>
    </r>
    <r>
      <rPr>
        <sz val="10"/>
        <color rgb="FF000000"/>
        <rFont val="Noto Sans CJK SC"/>
        <family val="2"/>
      </rPr>
      <t xml:space="preserve">（正式なお店）への昇格導線を追加。感想が付いた項目に「正式にお店リストへ登録する」ボタン（編集者・オーナー限定）を表示し、店名・メモ・参考リンクを引き継いで</t>
    </r>
    <r>
      <rPr>
        <sz val="10"/>
        <color rgb="FF000000"/>
        <rFont val="Noto Sans"/>
        <family val="0"/>
        <charset val="1"/>
      </rPr>
      <t xml:space="preserve">index.html</t>
    </r>
    <r>
      <rPr>
        <sz val="10"/>
        <color rgb="FF000000"/>
        <rFont val="Noto Sans CJK SC"/>
        <family val="2"/>
      </rPr>
      <t xml:space="preserve">の追加フォームを事前入力する</t>
    </r>
  </si>
  <si>
    <t xml:space="preserve">エンティティ間の関係（概要）</t>
  </si>
  <si>
    <t xml:space="preserve">1店舗(restaurants)が複数の口コミ(reviews)・改善依頼(editRequests)を持つ。usersはロール（owner/editor/member）を保持し、権限判定に利用</t>
  </si>
  <si>
    <t xml:space="preserve">マスタデータの管理方針</t>
  </si>
  <si>
    <t xml:space="preserve">ジャンル（20種）・都道府県／市区町村／エリアの階層データはフロントエンドの定数として管理</t>
  </si>
  <si>
    <r>
      <rPr>
        <b val="true"/>
        <sz val="11"/>
        <color rgb="FF000000"/>
        <rFont val="Yu Gothic"/>
        <family val="0"/>
        <charset val="1"/>
      </rPr>
      <t xml:space="preserve">4. </t>
    </r>
    <r>
      <rPr>
        <b val="true"/>
        <sz val="11"/>
        <color rgb="FF000000"/>
        <rFont val="Noto Sans CJK SC"/>
        <family val="2"/>
      </rPr>
      <t xml:space="preserve">外部インターフェース方針</t>
    </r>
  </si>
  <si>
    <t xml:space="preserve">外部インターフェース方針</t>
  </si>
  <si>
    <t xml:space="preserve">外部API連携方式</t>
  </si>
  <si>
    <t xml:space="preserve">認証方式</t>
  </si>
  <si>
    <r>
      <rPr>
        <sz val="10"/>
        <color rgb="FF000000"/>
        <rFont val="Noto Sans"/>
        <family val="0"/>
        <charset val="1"/>
      </rPr>
      <t xml:space="preserve">Firebase Authentication</t>
    </r>
    <r>
      <rPr>
        <sz val="10"/>
        <color rgb="FF000000"/>
        <rFont val="Noto Sans CJK SC"/>
        <family val="2"/>
      </rPr>
      <t xml:space="preserve">の</t>
    </r>
    <r>
      <rPr>
        <sz val="10"/>
        <color rgb="FF000000"/>
        <rFont val="Noto Sans"/>
        <family val="0"/>
        <charset val="1"/>
      </rPr>
      <t xml:space="preserve">Google</t>
    </r>
    <r>
      <rPr>
        <sz val="10"/>
        <color rgb="FF000000"/>
        <rFont val="Noto Sans CJK SC"/>
        <family val="2"/>
      </rPr>
      <t xml:space="preserve">ログインを共通の認証方式として使用。初回ログイン時に</t>
    </r>
    <r>
      <rPr>
        <sz val="10"/>
        <color rgb="FF000000"/>
        <rFont val="Noto Sans"/>
        <family val="0"/>
        <charset val="1"/>
      </rPr>
      <t xml:space="preserve">users</t>
    </r>
    <r>
      <rPr>
        <sz val="10"/>
        <color rgb="FF000000"/>
        <rFont val="Noto Sans CJK SC"/>
        <family val="2"/>
      </rPr>
      <t xml:space="preserve">コレクションへ自動登録（初期ロールは</t>
    </r>
    <r>
      <rPr>
        <sz val="10"/>
        <color rgb="FF000000"/>
        <rFont val="Noto Sans"/>
        <family val="0"/>
        <charset val="1"/>
      </rPr>
      <t xml:space="preserve">member</t>
    </r>
    <r>
      <rPr>
        <sz val="10"/>
        <color rgb="FF000000"/>
        <rFont val="Noto Sans CJK SC"/>
        <family val="2"/>
      </rPr>
      <t xml:space="preserve">）。</t>
    </r>
    <r>
      <rPr>
        <sz val="10"/>
        <color rgb="FF000000"/>
        <rFont val="Noto Sans"/>
        <family val="0"/>
        <charset val="1"/>
      </rPr>
      <t xml:space="preserve">role</t>
    </r>
    <r>
      <rPr>
        <sz val="10"/>
        <color rgb="FF000000"/>
        <rFont val="Noto Sans CJK SC"/>
        <family val="2"/>
      </rPr>
      <t xml:space="preserve">（</t>
    </r>
    <r>
      <rPr>
        <sz val="10"/>
        <color rgb="FF000000"/>
        <rFont val="Noto Sans"/>
        <family val="0"/>
        <charset val="1"/>
      </rPr>
      <t xml:space="preserve">owner/editor/member</t>
    </r>
    <r>
      <rPr>
        <sz val="10"/>
        <color rgb="FF000000"/>
        <rFont val="Noto Sans CJK SC"/>
        <family val="2"/>
      </rPr>
      <t xml:space="preserve">）で権限を判定。オーナーへの昇格は</t>
    </r>
    <r>
      <rPr>
        <sz val="10"/>
        <color rgb="FF000000"/>
        <rFont val="Noto Sans"/>
        <family val="0"/>
        <charset val="1"/>
      </rPr>
      <t xml:space="preserve">Firebase</t>
    </r>
    <r>
      <rPr>
        <sz val="10"/>
        <color rgb="FF000000"/>
        <rFont val="Noto Sans CJK SC"/>
        <family val="2"/>
      </rPr>
      <t xml:space="preserve">コンソールでの手動設定（一度きりの操作）</t>
    </r>
  </si>
  <si>
    <t xml:space="preserve">→ 合言葉より安全（本人確認ができ、漏えいリスクが低い）かつ、覚える必要がなくワンクリックでログインできる</t>
  </si>
  <si>
    <r>
      <rPr>
        <b val="true"/>
        <sz val="11"/>
        <color rgb="FF000000"/>
        <rFont val="Yu Gothic"/>
        <family val="0"/>
        <charset val="1"/>
      </rPr>
      <t xml:space="preserve">5. </t>
    </r>
    <r>
      <rPr>
        <b val="true"/>
        <sz val="11"/>
        <color rgb="FF000000"/>
        <rFont val="Noto Sans CJK SC"/>
        <family val="2"/>
      </rPr>
      <t xml:space="preserve">セキュリティ設計方針</t>
    </r>
  </si>
  <si>
    <t xml:space="preserve">セキュリティ設計方針</t>
  </si>
  <si>
    <t xml:space="preserve">認証・認可の考え方</t>
  </si>
  <si>
    <r>
      <rPr>
        <sz val="10"/>
        <color rgb="FF000000"/>
        <rFont val="Noto Sans"/>
        <family val="0"/>
        <charset val="1"/>
      </rPr>
      <t xml:space="preserve">4</t>
    </r>
    <r>
      <rPr>
        <sz val="10"/>
        <color rgb="FF000000"/>
        <rFont val="Noto Sans CJK SC"/>
        <family val="2"/>
      </rPr>
      <t xml:space="preserve">段階権限（最終版）：①オーナー＝全読み書き＋</t>
    </r>
    <r>
      <rPr>
        <sz val="10"/>
        <color rgb="FF000000"/>
        <rFont val="Noto Sans"/>
        <family val="0"/>
        <charset val="1"/>
      </rPr>
      <t xml:space="preserve">CSV</t>
    </r>
    <r>
      <rPr>
        <sz val="10"/>
        <color rgb="FF000000"/>
        <rFont val="Noto Sans CJK SC"/>
        <family val="2"/>
      </rPr>
      <t xml:space="preserve">入出力＋削除実行、②編集者＝店舗の追加・編集＋削除依頼（削除実行は不可）、③ログインユーザー</t>
    </r>
    <r>
      <rPr>
        <sz val="10"/>
        <color rgb="FF000000"/>
        <rFont val="Noto Sans"/>
        <family val="0"/>
        <charset val="1"/>
      </rPr>
      <t xml:space="preserve">(member)</t>
    </r>
    <r>
      <rPr>
        <sz val="10"/>
        <color rgb="FF000000"/>
        <rFont val="Noto Sans CJK SC"/>
        <family val="2"/>
      </rPr>
      <t xml:space="preserve">＝口コミ投稿（テキストのみ・ニックネーム表示）・表示名変更、④閲覧のみ＝ログイン不要の読み取り専用</t>
    </r>
  </si>
  <si>
    <t xml:space="preserve">合言葉での認証は検討。
別案を模索する。</t>
  </si>
  <si>
    <t xml:space="preserve">→ 「行ってみたい店」もホーム画面のタブとして統合。用語を「行ってみたい店」に完全統一。住所入力・ジオコーディングに対応し、地図ピンを色分け（実際に行って良かった店＝赤、行ってみたい店＝青）。行ってみたい店の編集・削除権限を「登録した本人＋オーナーのみ」に変更（編集者は対象外）</t>
  </si>
  <si>
    <t xml:space="preserve">データ保護方針</t>
  </si>
  <si>
    <t xml:space="preserve">ロール情報はFirestoreのusersコレクションで管理し、ソースに直書きしない。CSV一括インポートはCloud Function経由でオーナーのみ実行可能に制限。通信は常時HTTPS（Vercel標準）</t>
  </si>
  <si>
    <t xml:space="preserve">→ UIは絞り込みチップの羅列からパネル型（ボタンで開閉）に刷新。特にモバイルでの視認性を改善（2026-07-08）</t>
  </si>
  <si>
    <r>
      <rPr>
        <b val="true"/>
        <sz val="11"/>
        <color rgb="FF000000"/>
        <rFont val="Yu Gothic"/>
        <family val="0"/>
        <charset val="1"/>
      </rPr>
      <t xml:space="preserve">6. </t>
    </r>
    <r>
      <rPr>
        <b val="true"/>
        <sz val="11"/>
        <color rgb="FF000000"/>
        <rFont val="Noto Sans CJK SC"/>
        <family val="2"/>
      </rPr>
      <t xml:space="preserve">非機能設計方針</t>
    </r>
  </si>
  <si>
    <t xml:space="preserve">非機能設計方針</t>
  </si>
  <si>
    <t xml:space="preserve">性能対策</t>
  </si>
  <si>
    <t xml:space="preserve">店舗件数は数百件規模を想定。Firestoreの複合インデックスとクライアント側フィルタで高速表示</t>
  </si>
  <si>
    <t xml:space="preserve">障害対策・監視方針</t>
  </si>
  <si>
    <r>
      <rPr>
        <sz val="10"/>
        <color rgb="FF000000"/>
        <rFont val="Noto Sans"/>
        <family val="0"/>
        <charset val="1"/>
      </rPr>
      <t xml:space="preserve">Firebase</t>
    </r>
    <r>
      <rPr>
        <sz val="10"/>
        <color rgb="FF000000"/>
        <rFont val="Noto Sans CJK SC"/>
        <family val="2"/>
      </rPr>
      <t xml:space="preserve">／</t>
    </r>
    <r>
      <rPr>
        <sz val="10"/>
        <color rgb="FF000000"/>
        <rFont val="Noto Sans"/>
        <family val="0"/>
        <charset val="1"/>
      </rPr>
      <t xml:space="preserve">Vercel</t>
    </r>
    <r>
      <rPr>
        <sz val="10"/>
        <color rgb="FF000000"/>
        <rFont val="Noto Sans CJK SC"/>
        <family val="2"/>
      </rPr>
      <t xml:space="preserve">の標準監視に依存。個人開発のため月</t>
    </r>
    <r>
      <rPr>
        <sz val="10"/>
        <color rgb="FF000000"/>
        <rFont val="Noto Sans"/>
        <family val="0"/>
        <charset val="1"/>
      </rPr>
      <t xml:space="preserve">1</t>
    </r>
    <r>
      <rPr>
        <sz val="10"/>
        <color rgb="FF000000"/>
        <rFont val="Noto Sans CJK SC"/>
        <family val="2"/>
      </rPr>
      <t xml:space="preserve">回程度の手動確認</t>
    </r>
  </si>
  <si>
    <t xml:space="preserve">バックアップ・リカバリ方針</t>
  </si>
  <si>
    <r>
      <rPr>
        <sz val="10"/>
        <color rgb="FF000000"/>
        <rFont val="Noto Sans"/>
        <family val="0"/>
        <charset val="1"/>
      </rPr>
      <t xml:space="preserve">EmailJS</t>
    </r>
    <r>
      <rPr>
        <sz val="10"/>
        <color rgb="FF000000"/>
        <rFont val="Noto Sans CJK SC"/>
        <family val="2"/>
      </rPr>
      <t xml:space="preserve">（外部の無料メール送信サービス）。編集者が削除依頼をすると、</t>
    </r>
    <r>
      <rPr>
        <sz val="10"/>
        <color rgb="FF000000"/>
        <rFont val="Noto Sans"/>
        <family val="0"/>
        <charset val="1"/>
      </rPr>
      <t xml:space="preserve">Firestore</t>
    </r>
    <r>
      <rPr>
        <sz val="10"/>
        <color rgb="FF000000"/>
        <rFont val="Noto Sans CJK SC"/>
        <family val="2"/>
      </rPr>
      <t xml:space="preserve">更新と同時にオーナーへ自動でメール通知を送信</t>
    </r>
  </si>
  <si>
    <t xml:space="preserve">→ 行きたい店リストへの感想投稿時にも、登録者へEmailJS経由でメール通知する機能を追加（宛先は投稿ごとに動的に指定）</t>
  </si>
  <si>
    <r>
      <rPr>
        <b val="true"/>
        <sz val="11"/>
        <color rgb="FF000000"/>
        <rFont val="Yu Gothic"/>
        <family val="0"/>
        <charset val="1"/>
      </rPr>
      <t xml:space="preserve">7. </t>
    </r>
    <r>
      <rPr>
        <b val="true"/>
        <sz val="11"/>
        <color rgb="FF000000"/>
        <rFont val="Noto Sans CJK SC"/>
        <family val="2"/>
      </rPr>
      <t xml:space="preserve">開発・運用環境</t>
    </r>
  </si>
  <si>
    <t xml:space="preserve">開発・運用環境</t>
  </si>
  <si>
    <t xml:space="preserve">リポジトリ・バージョン管理</t>
  </si>
  <si>
    <r>
      <rPr>
        <sz val="10"/>
        <color rgb="FF000000"/>
        <rFont val="Noto Sans"/>
        <family val="0"/>
        <charset val="1"/>
      </rPr>
      <t xml:space="preserve">GitHub</t>
    </r>
    <r>
      <rPr>
        <sz val="10"/>
        <color rgb="FF000000"/>
        <rFont val="Noto Sans CJK SC"/>
        <family val="2"/>
      </rPr>
      <t xml:space="preserve">でソース管理。</t>
    </r>
    <r>
      <rPr>
        <sz val="10"/>
        <color rgb="FF000000"/>
        <rFont val="Noto Sans"/>
        <family val="0"/>
        <charset val="1"/>
      </rPr>
      <t xml:space="preserve">main</t>
    </r>
    <r>
      <rPr>
        <sz val="10"/>
        <color rgb="FF000000"/>
        <rFont val="Noto Sans CJK SC"/>
        <family val="2"/>
      </rPr>
      <t xml:space="preserve">ブランチ＝本番反映用</t>
    </r>
  </si>
  <si>
    <r>
      <rPr>
        <sz val="10"/>
        <color rgb="FF000000"/>
        <rFont val="Yu Gothic"/>
        <family val="0"/>
        <charset val="1"/>
      </rPr>
      <t xml:space="preserve">CI/CD</t>
    </r>
    <r>
      <rPr>
        <sz val="10"/>
        <color rgb="FF000000"/>
        <rFont val="Noto Sans CJK SC"/>
        <family val="2"/>
      </rPr>
      <t xml:space="preserve">方針</t>
    </r>
  </si>
  <si>
    <r>
      <rPr>
        <sz val="10"/>
        <color rgb="FF000000"/>
        <rFont val="Noto Sans"/>
        <family val="0"/>
        <charset val="1"/>
      </rPr>
      <t xml:space="preserve">GitHub</t>
    </r>
    <r>
      <rPr>
        <sz val="10"/>
        <color rgb="FF000000"/>
        <rFont val="Noto Sans CJK SC"/>
        <family val="2"/>
      </rPr>
      <t xml:space="preserve">連携による</t>
    </r>
    <r>
      <rPr>
        <sz val="10"/>
        <color rgb="FF000000"/>
        <rFont val="Noto Sans"/>
        <family val="0"/>
        <charset val="1"/>
      </rPr>
      <t xml:space="preserve">Vercel</t>
    </r>
    <r>
      <rPr>
        <sz val="10"/>
        <color rgb="FF000000"/>
        <rFont val="Noto Sans CJK SC"/>
        <family val="2"/>
      </rPr>
      <t xml:space="preserve">の自動デプロイ（</t>
    </r>
    <r>
      <rPr>
        <sz val="10"/>
        <color rgb="FF000000"/>
        <rFont val="Noto Sans"/>
        <family val="0"/>
        <charset val="1"/>
      </rPr>
      <t xml:space="preserve">push</t>
    </r>
    <r>
      <rPr>
        <sz val="10"/>
        <color rgb="FF000000"/>
        <rFont val="Noto Sans CJK SC"/>
        <family val="2"/>
      </rPr>
      <t xml:space="preserve">で自動反映）</t>
    </r>
  </si>
  <si>
    <t xml:space="preserve">監視・ログ方針</t>
  </si>
  <si>
    <r>
      <rPr>
        <sz val="10"/>
        <color rgb="FF000000"/>
        <rFont val="Noto Sans"/>
        <family val="0"/>
        <charset val="1"/>
      </rPr>
      <t xml:space="preserve">Vercel</t>
    </r>
    <r>
      <rPr>
        <sz val="10"/>
        <color rgb="FF000000"/>
        <rFont val="Noto Sans CJK SC"/>
        <family val="2"/>
      </rPr>
      <t xml:space="preserve">／</t>
    </r>
    <r>
      <rPr>
        <sz val="10"/>
        <color rgb="FF000000"/>
        <rFont val="Noto Sans"/>
        <family val="0"/>
        <charset val="1"/>
      </rPr>
      <t xml:space="preserve">Firebase</t>
    </r>
    <r>
      <rPr>
        <sz val="10"/>
        <color rgb="FF000000"/>
        <rFont val="Noto Sans CJK SC"/>
        <family val="2"/>
      </rPr>
      <t xml:space="preserve">コンソールのログ・アクセス状況を都度確認</t>
    </r>
  </si>
  <si>
    <t xml:space="preserve">■ 画面一覧</t>
  </si>
  <si>
    <t xml:space="preserve">画面ID</t>
  </si>
  <si>
    <t xml:space="preserve">画面名</t>
  </si>
  <si>
    <t xml:space="preserve">概要</t>
  </si>
  <si>
    <t xml:space="preserve">認証要否</t>
  </si>
  <si>
    <t xml:space="preserve">主な遷移先</t>
  </si>
  <si>
    <t xml:space="preserve">SC-01</t>
  </si>
  <si>
    <t xml:space="preserve">検索・一覧画面（トップ）</t>
  </si>
  <si>
    <t xml:space="preserve">都道府県・エリア・ジャンル・シーンで絞り込み検索し、右側に地図を表示</t>
  </si>
  <si>
    <t xml:space="preserve">不要</t>
  </si>
  <si>
    <t xml:space="preserve">SC-02</t>
  </si>
  <si>
    <t xml:space="preserve">お店詳細／地図連動</t>
  </si>
  <si>
    <t xml:space="preserve">リスト選択時に地図ピンと連動表示し、外部予約サイトへ遷移</t>
  </si>
  <si>
    <t xml:space="preserve">外部予約サイト</t>
  </si>
  <si>
    <t xml:space="preserve">SC-03</t>
  </si>
  <si>
    <t xml:space="preserve">編集・管理画面</t>
  </si>
  <si>
    <t xml:space="preserve">合言葉入力後、お店の追加・編集・削除依頼・CSVインポート/エクスポートを行う</t>
  </si>
  <si>
    <t xml:space="preserve">要</t>
  </si>
  <si>
    <t xml:space="preserve">SC-04</t>
  </si>
  <si>
    <t xml:space="preserve">マイページ</t>
  </si>
  <si>
    <t xml:space="preserve">ログインユーザーが表示名を変更する画面</t>
  </si>
  <si>
    <t xml:space="preserve">SC-05</t>
  </si>
  <si>
    <t xml:space="preserve">口コミ投稿・改善依頼フォーム</t>
  </si>
  <si>
    <t xml:space="preserve">ログインユーザーが口コミや改善依頼を投稿する画面</t>
  </si>
  <si>
    <t xml:space="preserve">■ 機能一覧</t>
  </si>
  <si>
    <t xml:space="preserve">機能ID</t>
  </si>
  <si>
    <t xml:space="preserve">機能名</t>
  </si>
  <si>
    <t xml:space="preserve">関連画面</t>
  </si>
  <si>
    <t xml:space="preserve">F-01</t>
  </si>
  <si>
    <t xml:space="preserve">検索・絞り込み機能</t>
  </si>
  <si>
    <t xml:space="preserve">都道府県・エリア・ジャンル・シーンのクロス検索</t>
  </si>
  <si>
    <t xml:space="preserve">F-02</t>
  </si>
  <si>
    <r>
      <rPr>
        <sz val="10"/>
        <color rgb="FF000000"/>
        <rFont val="Noto Sans"/>
        <family val="0"/>
        <charset val="1"/>
      </rPr>
      <t xml:space="preserve">Google Maps</t>
    </r>
    <r>
      <rPr>
        <sz val="10"/>
        <color rgb="FF000000"/>
        <rFont val="Noto Sans CJK SC"/>
        <family val="2"/>
      </rPr>
      <t xml:space="preserve">連動機能</t>
    </r>
  </si>
  <si>
    <t xml:space="preserve">リスト選択で地図ピンを即時連動表示</t>
  </si>
  <si>
    <t xml:space="preserve">SC-01,SC-02</t>
  </si>
  <si>
    <t xml:space="preserve">F-03</t>
  </si>
  <si>
    <r>
      <rPr>
        <sz val="10"/>
        <color rgb="FF000000"/>
        <rFont val="Yu Gothic"/>
        <family val="0"/>
        <charset val="1"/>
      </rPr>
      <t xml:space="preserve">CSV</t>
    </r>
    <r>
      <rPr>
        <sz val="10"/>
        <color rgb="FF000000"/>
        <rFont val="Noto Sans CJK SC"/>
        <family val="2"/>
      </rPr>
      <t xml:space="preserve">一括インポート</t>
    </r>
    <r>
      <rPr>
        <sz val="10"/>
        <color rgb="FF000000"/>
        <rFont val="Yu Gothic"/>
        <family val="0"/>
        <charset val="1"/>
      </rPr>
      <t xml:space="preserve">/</t>
    </r>
    <r>
      <rPr>
        <sz val="10"/>
        <color rgb="FF000000"/>
        <rFont val="Noto Sans CJK SC"/>
        <family val="2"/>
      </rPr>
      <t xml:space="preserve">エクスポート機能</t>
    </r>
  </si>
  <si>
    <t xml:space="preserve">管理者が全データをCSVで一括管理</t>
  </si>
  <si>
    <t xml:space="preserve">F-04</t>
  </si>
  <si>
    <t xml:space="preserve">口コミ投稿機能</t>
  </si>
  <si>
    <t xml:space="preserve">ログインユーザーが店舗に口コミを投稿できる</t>
  </si>
  <si>
    <t xml:space="preserve">F-05</t>
  </si>
  <si>
    <t xml:space="preserve">表示名変更機能</t>
  </si>
  <si>
    <t xml:space="preserve">ログインユーザーが自分の表示名を変更できる</t>
  </si>
  <si>
    <t xml:space="preserve">詳細設計書（Detailed Design）</t>
  </si>
  <si>
    <t xml:space="preserve">■ 画面／機能 詳細仕様</t>
  </si>
  <si>
    <t xml:space="preserve">ID</t>
  </si>
  <si>
    <t xml:space="preserve">名称</t>
  </si>
  <si>
    <t xml:space="preserve">種別</t>
  </si>
  <si>
    <t xml:space="preserve">処理概要</t>
  </si>
  <si>
    <t xml:space="preserve">入力項目</t>
  </si>
  <si>
    <t xml:space="preserve">出力項目</t>
  </si>
  <si>
    <t xml:space="preserve">バリデーション／エラー処理</t>
  </si>
  <si>
    <t xml:space="preserve">関連DBテーブル</t>
  </si>
  <si>
    <t xml:space="preserve">検索・一覧画面</t>
  </si>
  <si>
    <t xml:space="preserve">画面</t>
  </si>
  <si>
    <t xml:space="preserve">都道府県／エリア／ジャンル／シーンによる絞り込み検索、リスト表示、状態保持（ブラウザバック対策）</t>
  </si>
  <si>
    <t xml:space="preserve">prefecture, area, genre[], scene[], keyword</t>
  </si>
  <si>
    <t xml:space="preserve">店舗リスト（一覧）、件数</t>
  </si>
  <si>
    <t xml:space="preserve">検索条件は複数選択可。該当0件時はメッセージ表示</t>
  </si>
  <si>
    <t xml:space="preserve">restaurants</t>
  </si>
  <si>
    <t xml:space="preserve">リスト選択時に該当店舗の地図ピンを表示し、外部予約サイトへ遷移</t>
  </si>
  <si>
    <t xml:space="preserve">restaurant_id</t>
  </si>
  <si>
    <t xml:space="preserve">店舗詳細、地図ピン座標</t>
  </si>
  <si>
    <t xml:space="preserve">座標未取得の場合は地図非表示、代わりに住所テキストを表示</t>
  </si>
  <si>
    <t xml:space="preserve">機能</t>
  </si>
  <si>
    <t xml:space="preserve">管理者がCSVをアップロードすると全店舗データを一括上書き。エクスポートで現状データをCSV出力</t>
  </si>
  <si>
    <r>
      <rPr>
        <sz val="10"/>
        <color rgb="FF000000"/>
        <rFont val="Noto Sans"/>
        <family val="0"/>
        <charset val="1"/>
      </rPr>
      <t xml:space="preserve">CSV</t>
    </r>
    <r>
      <rPr>
        <sz val="10"/>
        <color rgb="FF000000"/>
        <rFont val="Noto Sans CJK SC"/>
        <family val="2"/>
      </rPr>
      <t xml:space="preserve">ファイル</t>
    </r>
  </si>
  <si>
    <t xml:space="preserve">反映結果メッセージ、CSVファイル</t>
  </si>
  <si>
    <t xml:space="preserve">必須列欠落時はエラー表示。文字コードはUTF-8（文字化け防止）</t>
  </si>
  <si>
    <t xml:space="preserve">削除依頼・承認機能</t>
  </si>
  <si>
    <t xml:space="preserve">編集者が削除依頼フラグを立て、管理者が確認のうえ削除を実行する</t>
  </si>
  <si>
    <t xml:space="preserve">restaurant_id, deleteRequested</t>
  </si>
  <si>
    <t xml:space="preserve">更新結果</t>
  </si>
  <si>
    <t xml:space="preserve">編集者は直接削除不可。承認は管理者のみ可能</t>
  </si>
  <si>
    <r>
      <rPr>
        <sz val="10"/>
        <color rgb="FF000000"/>
        <rFont val="Noto Sans"/>
        <family val="0"/>
        <charset val="1"/>
      </rPr>
      <t xml:space="preserve">Google</t>
    </r>
    <r>
      <rPr>
        <sz val="10"/>
        <color rgb="FF000000"/>
        <rFont val="Noto Sans CJK SC"/>
        <family val="2"/>
      </rPr>
      <t xml:space="preserve">ログイン・ロール判定機能</t>
    </r>
  </si>
  <si>
    <r>
      <rPr>
        <sz val="10"/>
        <color rgb="FF000000"/>
        <rFont val="Noto Sans"/>
        <family val="0"/>
        <charset val="1"/>
      </rPr>
      <t xml:space="preserve">Google</t>
    </r>
    <r>
      <rPr>
        <sz val="10"/>
        <color rgb="FF000000"/>
        <rFont val="Noto Sans CJK SC"/>
        <family val="2"/>
      </rPr>
      <t xml:space="preserve">アカウントでログインし、メールアドレスを</t>
    </r>
    <r>
      <rPr>
        <sz val="10"/>
        <color rgb="FF000000"/>
        <rFont val="Noto Sans"/>
        <family val="0"/>
        <charset val="1"/>
      </rPr>
      <t xml:space="preserve">Firestore</t>
    </r>
    <r>
      <rPr>
        <sz val="10"/>
        <color rgb="FF000000"/>
        <rFont val="Noto Sans CJK SC"/>
        <family val="2"/>
      </rPr>
      <t xml:space="preserve">の許可リスト（</t>
    </r>
    <r>
      <rPr>
        <sz val="10"/>
        <color rgb="FF000000"/>
        <rFont val="Noto Sans"/>
        <family val="0"/>
        <charset val="1"/>
      </rPr>
      <t xml:space="preserve">allowedEditors</t>
    </r>
    <r>
      <rPr>
        <sz val="10"/>
        <color rgb="FF000000"/>
        <rFont val="Noto Sans CJK SC"/>
        <family val="2"/>
      </rPr>
      <t xml:space="preserve">）と照合してロール（編集者／管理者）を判定する</t>
    </r>
  </si>
  <si>
    <t xml:space="preserve">（Googleログインのメールアドレス）</t>
  </si>
  <si>
    <t xml:space="preserve">ロール情報（editor／admin／該当なし）</t>
  </si>
  <si>
    <t xml:space="preserve">許可された操作以外は権限エラー。ロール情報はFirestore(users)で管理しソースに直書きしない</t>
  </si>
  <si>
    <t xml:space="preserve">restaurants, users</t>
  </si>
  <si>
    <t xml:space="preserve">■ データベース テーブル定義書</t>
  </si>
  <si>
    <t xml:space="preserve">テーブル名</t>
  </si>
  <si>
    <t xml:space="preserve">カラム名</t>
  </si>
  <si>
    <t xml:space="preserve">データ型</t>
  </si>
  <si>
    <t xml:space="preserve">PK</t>
  </si>
  <si>
    <r>
      <rPr>
        <b val="true"/>
        <sz val="10"/>
        <color rgb="FFFFFFFF"/>
        <rFont val="Yu Gothic"/>
        <family val="0"/>
        <charset val="1"/>
      </rPr>
      <t xml:space="preserve">FK</t>
    </r>
    <r>
      <rPr>
        <b val="true"/>
        <sz val="10"/>
        <color rgb="FFFFFFFF"/>
        <rFont val="Noto Sans CJK SC"/>
        <family val="2"/>
      </rPr>
      <t xml:space="preserve">参照先</t>
    </r>
  </si>
  <si>
    <t xml:space="preserve">NOT NULL</t>
  </si>
  <si>
    <t xml:space="preserve">デフォルト値</t>
  </si>
  <si>
    <t xml:space="preserve">説明</t>
  </si>
  <si>
    <t xml:space="preserve">id</t>
  </si>
  <si>
    <t xml:space="preserve">string(UUID)</t>
  </si>
  <si>
    <t xml:space="preserve">○</t>
  </si>
  <si>
    <t xml:space="preserve">店舗ID</t>
  </si>
  <si>
    <t xml:space="preserve">name</t>
  </si>
  <si>
    <t xml:space="preserve">string</t>
  </si>
  <si>
    <t xml:space="preserve">店名</t>
  </si>
  <si>
    <t xml:space="preserve">genre</t>
  </si>
  <si>
    <t xml:space="preserve">ジャンル（全20種）</t>
  </si>
  <si>
    <t xml:space="preserve">area</t>
  </si>
  <si>
    <t xml:space="preserve">繁華街エリア（例：梅田・北新地、心斎橋・難波・道頓堀等）。検索UIでは都道府県選択後、市区町村を挟まずこのエリアを直接プルダウン選択する</t>
  </si>
  <si>
    <t xml:space="preserve">taste</t>
  </si>
  <si>
    <t xml:space="preserve">number(1-5)</t>
  </si>
  <si>
    <t xml:space="preserve">満足度（星評価）</t>
  </si>
  <si>
    <t xml:space="preserve">deleteRequested</t>
  </si>
  <si>
    <t xml:space="preserve">boolean</t>
  </si>
  <si>
    <t xml:space="preserve">false</t>
  </si>
  <si>
    <t xml:space="preserve">削除依頼フラグ</t>
  </si>
  <si>
    <t xml:space="preserve">prefecture</t>
  </si>
  <si>
    <t xml:space="preserve">都道府県（エリア拡大時の絞り込み用。例：大阪府）</t>
  </si>
  <si>
    <t xml:space="preserve">city</t>
  </si>
  <si>
    <t xml:space="preserve">市区町村（例：大阪市）※他都市展開時の絞り込み用</t>
  </si>
  <si>
    <t xml:space="preserve">lat</t>
  </si>
  <si>
    <t xml:space="preserve">number</t>
  </si>
  <si>
    <t xml:space="preserve">緯度（住所からGeocoding APIで自動計算）</t>
  </si>
  <si>
    <t xml:space="preserve">lng</t>
  </si>
  <si>
    <t xml:space="preserve">経度（住所からGeocoding APIで自動計算）</t>
  </si>
  <si>
    <t xml:space="preserve">users</t>
  </si>
  <si>
    <r>
      <rPr>
        <sz val="11"/>
        <color theme="1"/>
        <rFont val="Calibri"/>
        <family val="0"/>
        <charset val="1"/>
      </rPr>
      <t xml:space="preserve">uid</t>
    </r>
    <r>
      <rPr>
        <sz val="11"/>
        <color theme="1"/>
        <rFont val="Noto Sans CJK SC"/>
        <family val="2"/>
      </rPr>
      <t xml:space="preserve">（ドキュメント</t>
    </r>
    <r>
      <rPr>
        <sz val="11"/>
        <color theme="1"/>
        <rFont val="Calibri"/>
        <family val="0"/>
        <charset val="1"/>
      </rPr>
      <t xml:space="preserve">ID</t>
    </r>
    <r>
      <rPr>
        <sz val="11"/>
        <color theme="1"/>
        <rFont val="Noto Sans CJK SC"/>
        <family val="2"/>
      </rPr>
      <t xml:space="preserve">）</t>
    </r>
  </si>
  <si>
    <r>
      <rPr>
        <sz val="11"/>
        <color theme="1"/>
        <rFont val="Calibri"/>
        <family val="0"/>
        <charset val="1"/>
      </rPr>
      <t xml:space="preserve">Google</t>
    </r>
    <r>
      <rPr>
        <sz val="11"/>
        <color theme="1"/>
        <rFont val="Noto Sans CJK SC"/>
        <family val="2"/>
      </rPr>
      <t xml:space="preserve">ログインのユーザー</t>
    </r>
    <r>
      <rPr>
        <sz val="11"/>
        <color theme="1"/>
        <rFont val="Calibri"/>
        <family val="0"/>
        <charset val="1"/>
      </rPr>
      <t xml:space="preserve">ID</t>
    </r>
  </si>
  <si>
    <t xml:space="preserve">role</t>
  </si>
  <si>
    <t xml:space="preserve">member</t>
  </si>
  <si>
    <t xml:space="preserve">オーナー(owner)／編集者(editor)／ログインユーザー(member)</t>
  </si>
  <si>
    <t xml:space="preserve">displayName</t>
  </si>
  <si>
    <t xml:space="preserve">サイト上に表示するユーザー名（本人が変更可）</t>
  </si>
  <si>
    <t xml:space="preserve">reviews</t>
  </si>
  <si>
    <r>
      <rPr>
        <sz val="10"/>
        <color rgb="FF000000"/>
        <rFont val="Yu Gothic"/>
        <family val="0"/>
        <charset val="1"/>
      </rPr>
      <t xml:space="preserve">id, restaurantId, authorUid, rating, text, createdAt</t>
    </r>
    <r>
      <rPr>
        <sz val="10"/>
        <color rgb="FF000000"/>
        <rFont val="Noto Sans CJK SC"/>
        <family val="2"/>
      </rPr>
      <t xml:space="preserve">（主要項目）</t>
    </r>
  </si>
  <si>
    <t xml:space="preserve">-</t>
  </si>
  <si>
    <t xml:space="preserve">店舗ごとの口コミ本体。1店舗に複数件ひも付く</t>
  </si>
  <si>
    <t xml:space="preserve">editRequests</t>
  </si>
  <si>
    <r>
      <rPr>
        <sz val="11"/>
        <color theme="1"/>
        <rFont val="Calibri"/>
        <family val="0"/>
        <charset val="1"/>
      </rPr>
      <t xml:space="preserve">id, restaurantId, authorUid, content, status, createdAt</t>
    </r>
    <r>
      <rPr>
        <sz val="11"/>
        <color theme="1"/>
        <rFont val="Noto Sans CJK SC"/>
        <family val="2"/>
      </rPr>
      <t xml:space="preserve">（主要項目）</t>
    </r>
  </si>
  <si>
    <t xml:space="preserve">改善依頼。statusは未対応／対応済み等</t>
  </si>
  <si>
    <r>
      <rPr>
        <sz val="11"/>
        <color theme="1"/>
        <rFont val="Calibri"/>
        <family val="0"/>
        <charset val="1"/>
      </rPr>
      <t xml:space="preserve">※ address, url, scenes, features, updatedAt </t>
    </r>
    <r>
      <rPr>
        <sz val="11"/>
        <color theme="1"/>
        <rFont val="Noto Sans CJK SC"/>
        <family val="2"/>
      </rPr>
      <t xml:space="preserve">等の残りの</t>
    </r>
    <r>
      <rPr>
        <sz val="11"/>
        <color theme="1"/>
        <rFont val="Calibri"/>
        <family val="0"/>
        <charset val="1"/>
      </rPr>
      <t xml:space="preserve">restaurants</t>
    </r>
    <r>
      <rPr>
        <sz val="11"/>
        <color theme="1"/>
        <rFont val="Noto Sans CJK SC"/>
        <family val="2"/>
      </rPr>
      <t xml:space="preserve">項目は①要件定義書のデータ要件を参照</t>
    </r>
  </si>
  <si>
    <r>
      <rPr>
        <b val="true"/>
        <sz val="11"/>
        <color rgb="FFFFFFFF"/>
        <rFont val="Yu Gothic"/>
        <family val="0"/>
        <charset val="1"/>
      </rPr>
      <t xml:space="preserve">■ API</t>
    </r>
    <r>
      <rPr>
        <b val="true"/>
        <sz val="11"/>
        <color rgb="FFFFFFFF"/>
        <rFont val="Noto Sans CJK SC"/>
        <family val="2"/>
      </rPr>
      <t xml:space="preserve">仕様書</t>
    </r>
  </si>
  <si>
    <t xml:space="preserve">API ID</t>
  </si>
  <si>
    <t xml:space="preserve">エンドポイント</t>
  </si>
  <si>
    <t xml:space="preserve">メソッド</t>
  </si>
  <si>
    <t xml:space="preserve">リクエスト</t>
  </si>
  <si>
    <t xml:space="preserve">レスポンス</t>
  </si>
  <si>
    <t xml:space="preserve">API-01</t>
  </si>
  <si>
    <r>
      <rPr>
        <sz val="10"/>
        <color rgb="FF000000"/>
        <rFont val="Yu Gothic"/>
        <family val="0"/>
        <charset val="1"/>
      </rPr>
      <t xml:space="preserve">Firestore: restaurants </t>
    </r>
    <r>
      <rPr>
        <sz val="10"/>
        <color rgb="FF000000"/>
        <rFont val="Noto Sans CJK SC"/>
        <family val="2"/>
      </rPr>
      <t xml:space="preserve">コレクション（検索・取得）</t>
    </r>
  </si>
  <si>
    <r>
      <rPr>
        <sz val="10"/>
        <color rgb="FF000000"/>
        <rFont val="Yu Gothic"/>
        <family val="0"/>
        <charset val="1"/>
      </rPr>
      <t xml:space="preserve">GET</t>
    </r>
    <r>
      <rPr>
        <sz val="10"/>
        <color rgb="FF000000"/>
        <rFont val="Noto Sans CJK SC"/>
        <family val="2"/>
      </rPr>
      <t xml:space="preserve">相当（</t>
    </r>
    <r>
      <rPr>
        <sz val="10"/>
        <color rgb="FF000000"/>
        <rFont val="Yu Gothic"/>
        <family val="0"/>
        <charset val="1"/>
      </rPr>
      <t xml:space="preserve">Firestore SDK</t>
    </r>
    <r>
      <rPr>
        <sz val="10"/>
        <color rgb="FF000000"/>
        <rFont val="Noto Sans CJK SC"/>
        <family val="2"/>
      </rPr>
      <t xml:space="preserve">）</t>
    </r>
  </si>
  <si>
    <t xml:space="preserve">prefecture, area, genre[], scene[]</t>
  </si>
  <si>
    <t xml:space="preserve">店舗リスト</t>
  </si>
  <si>
    <t xml:space="preserve">不要（閲覧は誰でも可）</t>
  </si>
  <si>
    <t xml:space="preserve">一覧取得・検索</t>
  </si>
  <si>
    <t xml:space="preserve">deleteRequestedBy</t>
  </si>
  <si>
    <t xml:space="preserve">店舗データ一式</t>
  </si>
  <si>
    <t xml:space="preserve">要（編集者以上）</t>
  </si>
  <si>
    <t xml:space="preserve">追加・編集・削除依頼</t>
  </si>
  <si>
    <t xml:space="preserve">削除依頼をしたユーザーのuid（オーナー・依頼者本人にのみ依頼表示を出すために使用）</t>
  </si>
  <si>
    <t xml:space="preserve">deleteRequestedAt</t>
  </si>
  <si>
    <r>
      <rPr>
        <sz val="10"/>
        <color rgb="FF000000"/>
        <rFont val="Yu Gothic"/>
        <family val="0"/>
        <charset val="1"/>
      </rPr>
      <t xml:space="preserve">Google</t>
    </r>
    <r>
      <rPr>
        <sz val="10"/>
        <color rgb="FF000000"/>
        <rFont val="Noto Sans CJK SC"/>
        <family val="2"/>
      </rPr>
      <t xml:space="preserve">アカウント</t>
    </r>
  </si>
  <si>
    <t xml:space="preserve">ロール情報</t>
  </si>
  <si>
    <t xml:space="preserve">ログイン・ロール判定</t>
  </si>
  <si>
    <t xml:space="preserve">削除依頼日時（メール通知の本文にも使用）</t>
  </si>
  <si>
    <t xml:space="preserve">wishlist</t>
  </si>
  <si>
    <r>
      <rPr>
        <sz val="10"/>
        <color rgb="FF000000"/>
        <rFont val="Yu Gothic"/>
        <family val="0"/>
        <charset val="1"/>
      </rPr>
      <t xml:space="preserve">name, memo, referenceUrl, addedBy, addedByNickname, anonymous, status, impression, impressionByNickname, createdAt</t>
    </r>
    <r>
      <rPr>
        <sz val="10"/>
        <color rgb="FF000000"/>
        <rFont val="Noto Sans CJK SC"/>
        <family val="2"/>
      </rPr>
      <t xml:space="preserve">（主要項目）</t>
    </r>
  </si>
  <si>
    <t xml:space="preserve">行ってみたい店リスト。address/lat/lngを追加し地図表示に対応。anonymous=trueの場合addedByNicknameは画面上非表示</t>
  </si>
  <si>
    <t xml:space="preserve">テストケース管理（テスト計画・テストケース・バグ管理）</t>
  </si>
  <si>
    <t xml:space="preserve">※ グレー斜体は記入例です。書き換えて使用してください。正常系・異常系・境界値の3観点でケースを作ると抜け漏れが減ります。</t>
  </si>
  <si>
    <t xml:space="preserve">■ テスト計画</t>
  </si>
  <si>
    <t xml:space="preserve">テスト種別</t>
  </si>
  <si>
    <t xml:space="preserve">目的</t>
  </si>
  <si>
    <t xml:space="preserve">実施タイミング</t>
  </si>
  <si>
    <t xml:space="preserve">実施担当</t>
  </si>
  <si>
    <t xml:space="preserve">単体テスト</t>
  </si>
  <si>
    <t xml:space="preserve">各機能・関数が仕様通りに動くかを個別に検証する</t>
  </si>
  <si>
    <t xml:space="preserve">実装完了ごと</t>
  </si>
  <si>
    <t xml:space="preserve">自分/AI</t>
  </si>
  <si>
    <t xml:space="preserve">未着手</t>
  </si>
  <si>
    <t xml:space="preserve">結合テスト</t>
  </si>
  <si>
    <t xml:space="preserve">複数の機能を組み合わせたときに正しく連携動作するかを検証する</t>
  </si>
  <si>
    <t xml:space="preserve">機能実装完了後</t>
  </si>
  <si>
    <r>
      <rPr>
        <sz val="10"/>
        <color rgb="FF000000"/>
        <rFont val="Yu Gothic"/>
        <family val="0"/>
        <charset val="1"/>
      </rPr>
      <t xml:space="preserve">UAT</t>
    </r>
    <r>
      <rPr>
        <sz val="10"/>
        <color rgb="FF000000"/>
        <rFont val="Noto Sans CJK SC"/>
        <family val="2"/>
      </rPr>
      <t xml:space="preserve">（受け入れテスト）</t>
    </r>
  </si>
  <si>
    <t xml:space="preserve">実際の利用シーンに沿って、想定通り使えるかを確認する</t>
  </si>
  <si>
    <t xml:space="preserve">リリース前</t>
  </si>
  <si>
    <t xml:space="preserve">負荷・性能テスト</t>
  </si>
  <si>
    <t xml:space="preserve">同時アクセス時の応答速度やサーバー負荷を確認する</t>
  </si>
  <si>
    <t xml:space="preserve">セキュリティテスト</t>
  </si>
  <si>
    <t xml:space="preserve">脆弱性の有無を確認する（⑤セキュリティチェックリスト参照）</t>
  </si>
  <si>
    <t xml:space="preserve">リグレッションテスト</t>
  </si>
  <si>
    <t xml:space="preserve">修正・追加が既存機能に悪影響を与えていないか確認する</t>
  </si>
  <si>
    <t xml:space="preserve">修正・追加の都度</t>
  </si>
  <si>
    <t xml:space="preserve">■ テストケース一覧</t>
  </si>
  <si>
    <t xml:space="preserve">対象ID
(画面/機能)</t>
  </si>
  <si>
    <t xml:space="preserve">テスト観点</t>
  </si>
  <si>
    <t xml:space="preserve">テスト手順</t>
  </si>
  <si>
    <t xml:space="preserve">期待結果</t>
  </si>
  <si>
    <t xml:space="preserve">実施結果</t>
  </si>
  <si>
    <t xml:space="preserve">判定</t>
  </si>
  <si>
    <t xml:space="preserve">実施日</t>
  </si>
  <si>
    <t xml:space="preserve">正常系：エリア・ジャンル・シーンで検索すると該当店舗のみ一覧表示される</t>
  </si>
  <si>
    <t xml:space="preserve">店舗データが複数登録済み</t>
  </si>
  <si>
    <t xml:space="preserve">①検索画面を開く ②エリア・ジャンルを選択 ③検索実行</t>
  </si>
  <si>
    <t xml:space="preserve">条件に合致する店舗のみリスト表示される</t>
  </si>
  <si>
    <t xml:space="preserve">境界値：検索結果が0件の場合の表示を確認する</t>
  </si>
  <si>
    <t xml:space="preserve">該当データが存在しない検索条件</t>
  </si>
  <si>
    <t xml:space="preserve">存在しない組み合わせで検索する</t>
  </si>
  <si>
    <t xml:space="preserve">「該当するお店がありません」等のメッセージが表示される</t>
  </si>
  <si>
    <t xml:space="preserve">正常系：リストの店舗を選択すると地図ピンが連動して表示される</t>
  </si>
  <si>
    <t xml:space="preserve">座標情報を持つ店舗データが存在</t>
  </si>
  <si>
    <t xml:space="preserve">リストから店舗を選択する</t>
  </si>
  <si>
    <t xml:space="preserve">右側の地図に該当店舗のピンが表示される</t>
  </si>
  <si>
    <t xml:space="preserve">正常系：許可リストに登録されたGoogleアカウントでログインすると編集画面が表示される</t>
  </si>
  <si>
    <t xml:space="preserve">編集者として許可リストに登録済みのGoogleアカウントを保有</t>
  </si>
  <si>
    <r>
      <rPr>
        <i val="true"/>
        <sz val="9"/>
        <color rgb="FF808080"/>
        <rFont val="Noto Sans"/>
        <family val="0"/>
        <charset val="1"/>
      </rPr>
      <t xml:space="preserve">①Google</t>
    </r>
    <r>
      <rPr>
        <i val="true"/>
        <sz val="9"/>
        <color rgb="FF808080"/>
        <rFont val="Noto Sans CJK SC"/>
        <family val="2"/>
      </rPr>
      <t xml:space="preserve">アカウントでログインする</t>
    </r>
  </si>
  <si>
    <t xml:space="preserve">編集画面が表示され追加・編集が可能になる</t>
  </si>
  <si>
    <t xml:space="preserve">異常系：許可リストに登録されていないGoogleアカウントでは編集画面に入れない</t>
  </si>
  <si>
    <t xml:space="preserve">許可リストに登録されていないGoogleアカウントを保有</t>
  </si>
  <si>
    <t xml:space="preserve">①未許可のGoogleアカウントでログインする</t>
  </si>
  <si>
    <t xml:space="preserve">編集画面へのアクセスが拒否される、またはエラーメッセージが表示される</t>
  </si>
  <si>
    <t xml:space="preserve">正常系：CSVインポートで店舗データが一括反映される</t>
  </si>
  <si>
    <t xml:space="preserve">正しいフォーマットのCSVを用意</t>
  </si>
  <si>
    <t xml:space="preserve">①管理画面でCSVを選択 ②インポート実行</t>
  </si>
  <si>
    <t xml:space="preserve">全店舗データが一括で更新される</t>
  </si>
  <si>
    <t xml:space="preserve">正常系：ログインユーザーが口コミを投稿できる</t>
  </si>
  <si>
    <t xml:space="preserve">ログイン済みの一般ユーザー（member）</t>
  </si>
  <si>
    <t xml:space="preserve">①店舗詳細画面で口コミを入力 ②投稿する</t>
  </si>
  <si>
    <t xml:space="preserve">投稿した口コミが店舗ページに表示される</t>
  </si>
  <si>
    <t xml:space="preserve">正常系：ログインユーザーが表示名を変更できる</t>
  </si>
  <si>
    <t xml:space="preserve">ログイン済みのユーザー</t>
  </si>
  <si>
    <t xml:space="preserve">①マイページで表示名を編集 ②保存する</t>
  </si>
  <si>
    <t xml:space="preserve">変更した表示名がサイト上の表示に反映される</t>
  </si>
  <si>
    <t xml:space="preserve">F-06</t>
  </si>
  <si>
    <t xml:space="preserve">異常系：編集者権限のないログインユーザーは店舗の編集・削除ができない</t>
  </si>
  <si>
    <r>
      <rPr>
        <sz val="10"/>
        <color rgb="FF000000"/>
        <rFont val="Yu Gothic"/>
        <family val="0"/>
        <charset val="1"/>
      </rPr>
      <t xml:space="preserve">role</t>
    </r>
    <r>
      <rPr>
        <sz val="10"/>
        <color rgb="FF000000"/>
        <rFont val="Noto Sans CJK SC"/>
        <family val="2"/>
      </rPr>
      <t xml:space="preserve">が</t>
    </r>
    <r>
      <rPr>
        <sz val="10"/>
        <color rgb="FF000000"/>
        <rFont val="Yu Gothic"/>
        <family val="0"/>
        <charset val="1"/>
      </rPr>
      <t xml:space="preserve">member</t>
    </r>
    <r>
      <rPr>
        <sz val="10"/>
        <color rgb="FF000000"/>
        <rFont val="Noto Sans CJK SC"/>
        <family val="2"/>
      </rPr>
      <t xml:space="preserve">のユーザーでログイン済み</t>
    </r>
  </si>
  <si>
    <t xml:space="preserve">①店舗編集画面へのアクセスを試みる</t>
  </si>
  <si>
    <t xml:space="preserve">編集・削除の操作ボタンが表示されない、または権限エラーになる</t>
  </si>
  <si>
    <t xml:space="preserve">■ バグ・不具合管理</t>
  </si>
  <si>
    <t xml:space="preserve">バグID</t>
  </si>
  <si>
    <t xml:space="preserve">発見日</t>
  </si>
  <si>
    <t xml:space="preserve">発見テスト種別</t>
  </si>
  <si>
    <t xml:space="preserve">内容</t>
  </si>
  <si>
    <t xml:space="preserve">重要度</t>
  </si>
  <si>
    <t xml:space="preserve">再現手順</t>
  </si>
  <si>
    <t xml:space="preserve">対応状況</t>
  </si>
  <si>
    <t xml:space="preserve">修正完了日</t>
  </si>
  <si>
    <t xml:space="preserve">再テスト結果</t>
  </si>
  <si>
    <t xml:space="preserve">BUG-01</t>
  </si>
  <si>
    <t xml:space="preserve">例）CSV出力時に日本語列名が文字化けする</t>
  </si>
  <si>
    <t xml:space="preserve">中</t>
  </si>
  <si>
    <t xml:space="preserve">例）在庫一覧でCSV出力ボタンを押す</t>
  </si>
  <si>
    <t xml:space="preserve">未対応</t>
  </si>
  <si>
    <t xml:space="preserve">BUG-02</t>
  </si>
  <si>
    <t xml:space="preserve">BUG-03</t>
  </si>
  <si>
    <t xml:space="preserve">セキュリティチェックリスト</t>
  </si>
  <si>
    <t xml:space="preserve">非エンジニアでもチェックできるよう平易な言葉にしています。判断に迷う項目はAIに「この項目は自分のシステムでどう対応すればいいか」と聞くと具体策が得られます。</t>
  </si>
  <si>
    <t xml:space="preserve">対応済み件数</t>
  </si>
  <si>
    <t xml:space="preserve">対応率</t>
  </si>
  <si>
    <t xml:space="preserve">チェック項目</t>
  </si>
  <si>
    <t xml:space="preserve">確認日</t>
  </si>
  <si>
    <r>
      <rPr>
        <b val="true"/>
        <sz val="11"/>
        <color rgb="FF000000"/>
        <rFont val="Yu Gothic"/>
        <family val="0"/>
        <charset val="1"/>
      </rPr>
      <t xml:space="preserve">1. </t>
    </r>
    <r>
      <rPr>
        <b val="true"/>
        <sz val="11"/>
        <color rgb="FF000000"/>
        <rFont val="Noto Sans CJK SC"/>
        <family val="2"/>
      </rPr>
      <t xml:space="preserve">認証・アカウント管理</t>
    </r>
  </si>
  <si>
    <t xml:space="preserve">認証・アカウント管理</t>
  </si>
  <si>
    <t xml:space="preserve">パスワードの強度チェックを実装している（8文字以上・英数字混在など）</t>
  </si>
  <si>
    <t xml:space="preserve">パスワードはハッシュ化して保存している（平文で保存していない）</t>
  </si>
  <si>
    <t xml:space="preserve">ログイン試行回数を制限している（ブルートフォース攻撃対策）</t>
  </si>
  <si>
    <t xml:space="preserve">セッションの有効期限を設定している</t>
  </si>
  <si>
    <t xml:space="preserve">パスワード再設定用トークンに有効期限を設けている</t>
  </si>
  <si>
    <r>
      <rPr>
        <b val="true"/>
        <sz val="11"/>
        <color rgb="FF000000"/>
        <rFont val="Yu Gothic"/>
        <family val="0"/>
        <charset val="1"/>
      </rPr>
      <t xml:space="preserve">2. </t>
    </r>
    <r>
      <rPr>
        <b val="true"/>
        <sz val="11"/>
        <color rgb="FF000000"/>
        <rFont val="Noto Sans CJK SC"/>
        <family val="2"/>
      </rPr>
      <t xml:space="preserve">入力値検証・脆弱性対策</t>
    </r>
  </si>
  <si>
    <t xml:space="preserve">入力値検証・脆弱性対策</t>
  </si>
  <si>
    <r>
      <rPr>
        <sz val="10"/>
        <color rgb="FF000000"/>
        <rFont val="Yu Gothic"/>
        <family val="0"/>
        <charset val="1"/>
      </rPr>
      <t xml:space="preserve">SQL</t>
    </r>
    <r>
      <rPr>
        <sz val="10"/>
        <color rgb="FF000000"/>
        <rFont val="Noto Sans CJK SC"/>
        <family val="2"/>
      </rPr>
      <t xml:space="preserve">インジェクション対策をしている（プレースホルダ／</t>
    </r>
    <r>
      <rPr>
        <sz val="10"/>
        <color rgb="FF000000"/>
        <rFont val="Yu Gothic"/>
        <family val="0"/>
        <charset val="1"/>
      </rPr>
      <t xml:space="preserve">ORM</t>
    </r>
    <r>
      <rPr>
        <sz val="10"/>
        <color rgb="FF000000"/>
        <rFont val="Noto Sans CJK SC"/>
        <family val="2"/>
      </rPr>
      <t xml:space="preserve">を使用し、文字列連結で</t>
    </r>
    <r>
      <rPr>
        <sz val="10"/>
        <color rgb="FF000000"/>
        <rFont val="Yu Gothic"/>
        <family val="0"/>
        <charset val="1"/>
      </rPr>
      <t xml:space="preserve">SQL</t>
    </r>
    <r>
      <rPr>
        <sz val="10"/>
        <color rgb="FF000000"/>
        <rFont val="Noto Sans CJK SC"/>
        <family val="2"/>
      </rPr>
      <t xml:space="preserve">を組み立てていない）</t>
    </r>
  </si>
  <si>
    <r>
      <rPr>
        <sz val="10"/>
        <color rgb="FF000000"/>
        <rFont val="Yu Gothic"/>
        <family val="0"/>
        <charset val="1"/>
      </rPr>
      <t xml:space="preserve">XSS</t>
    </r>
    <r>
      <rPr>
        <sz val="10"/>
        <color rgb="FF000000"/>
        <rFont val="Noto Sans CJK SC"/>
        <family val="2"/>
      </rPr>
      <t xml:space="preserve">（クロスサイトスクリプティング）対策をしている（画面表示時に入力値をエスケープしている）</t>
    </r>
  </si>
  <si>
    <r>
      <rPr>
        <sz val="10"/>
        <color rgb="FF000000"/>
        <rFont val="Yu Gothic"/>
        <family val="0"/>
        <charset val="1"/>
      </rPr>
      <t xml:space="preserve">CSRF</t>
    </r>
    <r>
      <rPr>
        <sz val="10"/>
        <color rgb="FF000000"/>
        <rFont val="Noto Sans CJK SC"/>
        <family val="2"/>
      </rPr>
      <t xml:space="preserve">対策をしている（フォーム送信にトークンを使用している）</t>
    </r>
  </si>
  <si>
    <t xml:space="preserve">ファイルアップロード機能で拡張子・サイズ・中身を検証している</t>
  </si>
  <si>
    <r>
      <rPr>
        <sz val="10"/>
        <color rgb="FF000000"/>
        <rFont val="Yu Gothic"/>
        <family val="0"/>
        <charset val="1"/>
      </rPr>
      <t xml:space="preserve">API</t>
    </r>
    <r>
      <rPr>
        <sz val="10"/>
        <color rgb="FF000000"/>
        <rFont val="Noto Sans CJK SC"/>
        <family val="2"/>
      </rPr>
      <t xml:space="preserve">にレート制限（過剰リクエストの制御）を設けている</t>
    </r>
  </si>
  <si>
    <r>
      <rPr>
        <b val="true"/>
        <sz val="11"/>
        <color rgb="FF000000"/>
        <rFont val="Yu Gothic"/>
        <family val="0"/>
        <charset val="1"/>
      </rPr>
      <t xml:space="preserve">3. </t>
    </r>
    <r>
      <rPr>
        <b val="true"/>
        <sz val="11"/>
        <color rgb="FF000000"/>
        <rFont val="Noto Sans CJK SC"/>
        <family val="2"/>
      </rPr>
      <t xml:space="preserve">通信・機密情報の管理</t>
    </r>
  </si>
  <si>
    <t xml:space="preserve">通信・機密情報の管理</t>
  </si>
  <si>
    <t xml:space="preserve">サイト全体をHTTPS化している（SSL証明書設定済み）</t>
  </si>
  <si>
    <r>
      <rPr>
        <sz val="10"/>
        <color rgb="FF000000"/>
        <rFont val="Yu Gothic"/>
        <family val="0"/>
        <charset val="1"/>
      </rPr>
      <t xml:space="preserve">API</t>
    </r>
    <r>
      <rPr>
        <sz val="10"/>
        <color rgb="FF000000"/>
        <rFont val="Noto Sans CJK SC"/>
        <family val="2"/>
      </rPr>
      <t xml:space="preserve">キー・</t>
    </r>
    <r>
      <rPr>
        <sz val="10"/>
        <color rgb="FF000000"/>
        <rFont val="Yu Gothic"/>
        <family val="0"/>
        <charset val="1"/>
      </rPr>
      <t xml:space="preserve">DB</t>
    </r>
    <r>
      <rPr>
        <sz val="10"/>
        <color rgb="FF000000"/>
        <rFont val="Noto Sans CJK SC"/>
        <family val="2"/>
      </rPr>
      <t xml:space="preserve">パスワード等をソースコードに直書きしていない（環境変数で管理している）</t>
    </r>
  </si>
  <si>
    <r>
      <rPr>
        <sz val="10"/>
        <color rgb="FF000000"/>
        <rFont val="Yu Gothic"/>
        <family val="0"/>
        <charset val="1"/>
      </rPr>
      <t xml:space="preserve">.env</t>
    </r>
    <r>
      <rPr>
        <sz val="10"/>
        <color rgb="FF000000"/>
        <rFont val="Noto Sans CJK SC"/>
        <family val="2"/>
      </rPr>
      <t xml:space="preserve">等の機密情報ファイルを</t>
    </r>
    <r>
      <rPr>
        <sz val="10"/>
        <color rgb="FF000000"/>
        <rFont val="Yu Gothic"/>
        <family val="0"/>
        <charset val="1"/>
      </rPr>
      <t xml:space="preserve">Git</t>
    </r>
    <r>
      <rPr>
        <sz val="10"/>
        <color rgb="FF000000"/>
        <rFont val="Noto Sans CJK SC"/>
        <family val="2"/>
      </rPr>
      <t xml:space="preserve">管理対象から除外している（</t>
    </r>
    <r>
      <rPr>
        <sz val="10"/>
        <color rgb="FF000000"/>
        <rFont val="Yu Gothic"/>
        <family val="0"/>
        <charset val="1"/>
      </rPr>
      <t xml:space="preserve">.gitignore</t>
    </r>
    <r>
      <rPr>
        <sz val="10"/>
        <color rgb="FF000000"/>
        <rFont val="Noto Sans CJK SC"/>
        <family val="2"/>
      </rPr>
      <t xml:space="preserve">設定済み）</t>
    </r>
  </si>
  <si>
    <t xml:space="preserve">個人情報やパスワードなど機密データを暗号化して保存している</t>
  </si>
  <si>
    <t xml:space="preserve">クレジットカード情報は自社で保持せず決済代行会社（Stripe等）に委託している</t>
  </si>
  <si>
    <r>
      <rPr>
        <b val="true"/>
        <sz val="11"/>
        <color rgb="FF000000"/>
        <rFont val="Yu Gothic"/>
        <family val="0"/>
        <charset val="1"/>
      </rPr>
      <t xml:space="preserve">4. </t>
    </r>
    <r>
      <rPr>
        <b val="true"/>
        <sz val="11"/>
        <color rgb="FF000000"/>
        <rFont val="Noto Sans CJK SC"/>
        <family val="2"/>
      </rPr>
      <t xml:space="preserve">インフラ・アクセス制御</t>
    </r>
  </si>
  <si>
    <t xml:space="preserve">インフラ・アクセス制御</t>
  </si>
  <si>
    <t xml:space="preserve">管理画面へのアクセスを制限している（IP制限、管理者権限のみ等）</t>
  </si>
  <si>
    <r>
      <rPr>
        <sz val="10"/>
        <color rgb="FF000000"/>
        <rFont val="Yu Gothic"/>
        <family val="0"/>
        <charset val="1"/>
      </rPr>
      <t xml:space="preserve">DB</t>
    </r>
    <r>
      <rPr>
        <sz val="10"/>
        <color rgb="FF000000"/>
        <rFont val="Noto Sans CJK SC"/>
        <family val="2"/>
      </rPr>
      <t xml:space="preserve">やサーバーのアクセス権限を必要最小限にしている（最小権限の原則）</t>
    </r>
  </si>
  <si>
    <t xml:space="preserve">本番環境でデバッグモード・詳細エラー表示をOFFにしている</t>
  </si>
  <si>
    <t xml:space="preserve">クラウドのファイアウォール／セキュリティグループの設定を確認している</t>
  </si>
  <si>
    <t xml:space="preserve">使用ライブラリ・パッケージの脆弱性を定期的にスキャンしている（npm audit等）</t>
  </si>
  <si>
    <r>
      <rPr>
        <b val="true"/>
        <sz val="11"/>
        <color rgb="FF000000"/>
        <rFont val="Yu Gothic"/>
        <family val="0"/>
        <charset val="1"/>
      </rPr>
      <t xml:space="preserve">5. </t>
    </r>
    <r>
      <rPr>
        <b val="true"/>
        <sz val="11"/>
        <color rgb="FF000000"/>
        <rFont val="Noto Sans CJK SC"/>
        <family val="2"/>
      </rPr>
      <t xml:space="preserve">ログ・監視・インシデント対応</t>
    </r>
  </si>
  <si>
    <t xml:space="preserve">ログ・監視・インシデント対応</t>
  </si>
  <si>
    <t xml:space="preserve">アクセスログ・エラーログを記録している</t>
  </si>
  <si>
    <t xml:space="preserve">不審なアクセスやエラー急増を検知する仕組みがある（監視・アラート）</t>
  </si>
  <si>
    <t xml:space="preserve">セキュリティインシデント発生時の対応フロー・連絡先を整備している</t>
  </si>
  <si>
    <r>
      <rPr>
        <b val="true"/>
        <sz val="11"/>
        <color rgb="FF000000"/>
        <rFont val="Yu Gothic"/>
        <family val="0"/>
        <charset val="1"/>
      </rPr>
      <t xml:space="preserve">6. </t>
    </r>
    <r>
      <rPr>
        <b val="true"/>
        <sz val="11"/>
        <color rgb="FF000000"/>
        <rFont val="Noto Sans CJK SC"/>
        <family val="2"/>
      </rPr>
      <t xml:space="preserve">個人情報・法令対応</t>
    </r>
  </si>
  <si>
    <t xml:space="preserve">個人情報・法令対応</t>
  </si>
  <si>
    <t xml:space="preserve">プライバシーポリシーを掲載している</t>
  </si>
  <si>
    <t xml:space="preserve">特定商取引法に基づく表記をしている（該当する場合）</t>
  </si>
  <si>
    <r>
      <rPr>
        <sz val="10"/>
        <color rgb="FF000000"/>
        <rFont val="Yu Gothic"/>
        <family val="0"/>
        <charset val="1"/>
      </rPr>
      <t xml:space="preserve">Cookie</t>
    </r>
    <r>
      <rPr>
        <sz val="10"/>
        <color rgb="FF000000"/>
        <rFont val="Noto Sans CJK SC"/>
        <family val="2"/>
      </rPr>
      <t xml:space="preserve">利用について同意取得の仕組みがある</t>
    </r>
  </si>
  <si>
    <t xml:space="preserve">個人情報の第三者提供・利用目的を明記している</t>
  </si>
  <si>
    <t xml:space="preserve">退会時のデータ削除・保持期間のポリシーを定めている</t>
  </si>
  <si>
    <r>
      <rPr>
        <b val="true"/>
        <sz val="11"/>
        <color rgb="FF000000"/>
        <rFont val="Yu Gothic"/>
        <family val="0"/>
        <charset val="1"/>
      </rPr>
      <t xml:space="preserve">7. </t>
    </r>
    <r>
      <rPr>
        <b val="true"/>
        <sz val="11"/>
        <color rgb="FF000000"/>
        <rFont val="Noto Sans CJK SC"/>
        <family val="2"/>
      </rPr>
      <t xml:space="preserve">バックアップ・事業継続</t>
    </r>
  </si>
  <si>
    <t xml:space="preserve">バックアップ・事業継続</t>
  </si>
  <si>
    <t xml:space="preserve">定期的な自動バックアップを設定している</t>
  </si>
  <si>
    <t xml:space="preserve">バックアップからの復旧テストを実施したことがある</t>
  </si>
  <si>
    <t xml:space="preserve">障害発生時のロールバック手順を整備している</t>
  </si>
  <si>
    <r>
      <rPr>
        <b val="true"/>
        <sz val="11"/>
        <color rgb="FF000000"/>
        <rFont val="Yu Gothic"/>
        <family val="0"/>
        <charset val="1"/>
      </rPr>
      <t xml:space="preserve">8. </t>
    </r>
    <r>
      <rPr>
        <b val="true"/>
        <sz val="11"/>
        <color rgb="FF000000"/>
        <rFont val="Noto Sans CJK SC"/>
        <family val="2"/>
      </rPr>
      <t xml:space="preserve">リリース前 最終チェック</t>
    </r>
  </si>
  <si>
    <t xml:space="preserve">リリース前 最終チェック</t>
  </si>
  <si>
    <t xml:space="preserve">本番用の環境変数・APIキーに切り替え済みである</t>
  </si>
  <si>
    <t xml:space="preserve">テストデータ・ダミーアカウントを削除した</t>
  </si>
  <si>
    <r>
      <rPr>
        <sz val="10"/>
        <color rgb="FF000000"/>
        <rFont val="Yu Gothic"/>
        <family val="0"/>
        <charset val="1"/>
      </rPr>
      <t xml:space="preserve">HTTPS</t>
    </r>
    <r>
      <rPr>
        <sz val="10"/>
        <color rgb="FF000000"/>
        <rFont val="Noto Sans CJK SC"/>
        <family val="2"/>
      </rPr>
      <t xml:space="preserve">への強制リダイレクトを確認した</t>
    </r>
  </si>
  <si>
    <t xml:space="preserve">エラーページに内部情報（スタックトレース等）が表示されないことを確認した</t>
  </si>
  <si>
    <t xml:space="preserve">全ての入力フォームで異常系のテストを実施した</t>
  </si>
  <si>
    <t xml:space="preserve">マネタイズ計画（収益モデル・売上シミュレーション・損益）</t>
  </si>
  <si>
    <t xml:space="preserve">※ 青字セルが入力欄です。黒字セルは自動計算（数式）のため直接編集しないでください。</t>
  </si>
  <si>
    <t xml:space="preserve">■ 収益モデル一覧</t>
  </si>
  <si>
    <t xml:space="preserve">モデル種別</t>
  </si>
  <si>
    <t xml:space="preserve">価格</t>
  </si>
  <si>
    <t xml:space="preserve">課金頻度</t>
  </si>
  <si>
    <t xml:space="preserve">アフィリエイト（成果報酬型）</t>
  </si>
  <si>
    <t xml:space="preserve">お店のURLをA8.net／バリューコマース等のアフィリエイトリンクに差し替え、予約成立ごとに紹介料を獲得</t>
  </si>
  <si>
    <r>
      <rPr>
        <sz val="10"/>
        <color rgb="FF000000"/>
        <rFont val="Yu Gothic"/>
        <family val="0"/>
        <charset val="1"/>
      </rPr>
      <t xml:space="preserve">50</t>
    </r>
    <r>
      <rPr>
        <sz val="10"/>
        <color rgb="FF000000"/>
        <rFont val="Noto Sans CJK SC"/>
        <family val="2"/>
      </rPr>
      <t xml:space="preserve">〜</t>
    </r>
    <r>
      <rPr>
        <sz val="10"/>
        <color rgb="FF000000"/>
        <rFont val="Yu Gothic"/>
        <family val="0"/>
        <charset val="1"/>
      </rPr>
      <t xml:space="preserve">300</t>
    </r>
    <r>
      <rPr>
        <sz val="10"/>
        <color rgb="FF000000"/>
        <rFont val="Noto Sans CJK SC"/>
        <family val="2"/>
      </rPr>
      <t xml:space="preserve">円</t>
    </r>
    <r>
      <rPr>
        <sz val="10"/>
        <color rgb="FF000000"/>
        <rFont val="Yu Gothic"/>
        <family val="0"/>
        <charset val="1"/>
      </rPr>
      <t xml:space="preserve">/</t>
    </r>
    <r>
      <rPr>
        <sz val="10"/>
        <color rgb="FF000000"/>
        <rFont val="Noto Sans CJK SC"/>
        <family val="2"/>
      </rPr>
      <t xml:space="preserve">件</t>
    </r>
  </si>
  <si>
    <t xml:space="preserve">都度</t>
  </si>
  <si>
    <t xml:space="preserve">Google AdSense</t>
  </si>
  <si>
    <t xml:space="preserve">アクセスが安定（月間数千PV〜）してきた段階で導入するクリック型広告</t>
  </si>
  <si>
    <t xml:space="preserve">要相談（CPC次第）</t>
  </si>
  <si>
    <t xml:space="preserve">有料コンテンツ（note）</t>
  </si>
  <si>
    <t xml:space="preserve">「絶対にハズさない接待店」等の厳選まとめをnoteで有料販売し、おかログから送客</t>
  </si>
  <si>
    <r>
      <rPr>
        <sz val="10"/>
        <color rgb="FF000000"/>
        <rFont val="Yu Gothic"/>
        <family val="0"/>
        <charset val="1"/>
      </rPr>
      <t xml:space="preserve">500</t>
    </r>
    <r>
      <rPr>
        <sz val="10"/>
        <color rgb="FF000000"/>
        <rFont val="Noto Sans CJK SC"/>
        <family val="2"/>
      </rPr>
      <t xml:space="preserve">〜</t>
    </r>
    <r>
      <rPr>
        <sz val="10"/>
        <color rgb="FF000000"/>
        <rFont val="Yu Gothic"/>
        <family val="0"/>
        <charset val="1"/>
      </rPr>
      <t xml:space="preserve">1,500</t>
    </r>
    <r>
      <rPr>
        <sz val="10"/>
        <color rgb="FF000000"/>
        <rFont val="Noto Sans CJK SC"/>
        <family val="2"/>
      </rPr>
      <t xml:space="preserve">円</t>
    </r>
    <r>
      <rPr>
        <sz val="10"/>
        <color rgb="FF000000"/>
        <rFont val="Yu Gothic"/>
        <family val="0"/>
        <charset val="1"/>
      </rPr>
      <t xml:space="preserve">/</t>
    </r>
    <r>
      <rPr>
        <sz val="10"/>
        <color rgb="FF000000"/>
        <rFont val="Noto Sans CJK SC"/>
        <family val="2"/>
      </rPr>
      <t xml:space="preserve">本</t>
    </r>
  </si>
  <si>
    <t xml:space="preserve">■ 月次売上シミュレーション（リリース後の月数ベース）</t>
  </si>
  <si>
    <t xml:space="preserve">月</t>
  </si>
  <si>
    <t xml:space="preserve">想定送客（成約）件数</t>
  </si>
  <si>
    <t xml:space="preserve">平均成果報酬単価(円)</t>
  </si>
  <si>
    <t xml:space="preserve">月間売上(円)</t>
  </si>
  <si>
    <t xml:space="preserve">累計ユーザー数</t>
  </si>
  <si>
    <t xml:space="preserve">累計売上(円)</t>
  </si>
  <si>
    <r>
      <rPr>
        <sz val="10"/>
        <color rgb="FF000000"/>
        <rFont val="Yu Gothic"/>
        <family val="0"/>
        <charset val="1"/>
      </rPr>
      <t xml:space="preserve">1</t>
    </r>
    <r>
      <rPr>
        <sz val="10"/>
        <color rgb="FF000000"/>
        <rFont val="Noto Sans CJK SC"/>
        <family val="2"/>
      </rPr>
      <t xml:space="preserve">ヶ月目</t>
    </r>
  </si>
  <si>
    <r>
      <rPr>
        <sz val="10"/>
        <color rgb="FF000000"/>
        <rFont val="Yu Gothic"/>
        <family val="0"/>
        <charset val="1"/>
      </rPr>
      <t xml:space="preserve">2</t>
    </r>
    <r>
      <rPr>
        <sz val="10"/>
        <color rgb="FF000000"/>
        <rFont val="Noto Sans CJK SC"/>
        <family val="2"/>
      </rPr>
      <t xml:space="preserve">ヶ月目</t>
    </r>
  </si>
  <si>
    <r>
      <rPr>
        <sz val="10"/>
        <color rgb="FF000000"/>
        <rFont val="Yu Gothic"/>
        <family val="0"/>
        <charset val="1"/>
      </rPr>
      <t xml:space="preserve">3</t>
    </r>
    <r>
      <rPr>
        <sz val="10"/>
        <color rgb="FF000000"/>
        <rFont val="Noto Sans CJK SC"/>
        <family val="2"/>
      </rPr>
      <t xml:space="preserve">ヶ月目</t>
    </r>
  </si>
  <si>
    <r>
      <rPr>
        <sz val="10"/>
        <color rgb="FF000000"/>
        <rFont val="Yu Gothic"/>
        <family val="0"/>
        <charset val="1"/>
      </rPr>
      <t xml:space="preserve">4</t>
    </r>
    <r>
      <rPr>
        <sz val="10"/>
        <color rgb="FF000000"/>
        <rFont val="Noto Sans CJK SC"/>
        <family val="2"/>
      </rPr>
      <t xml:space="preserve">ヶ月目</t>
    </r>
  </si>
  <si>
    <r>
      <rPr>
        <sz val="10"/>
        <color rgb="FF000000"/>
        <rFont val="Yu Gothic"/>
        <family val="0"/>
        <charset val="1"/>
      </rPr>
      <t xml:space="preserve">5</t>
    </r>
    <r>
      <rPr>
        <sz val="10"/>
        <color rgb="FF000000"/>
        <rFont val="Noto Sans CJK SC"/>
        <family val="2"/>
      </rPr>
      <t xml:space="preserve">ヶ月目</t>
    </r>
  </si>
  <si>
    <r>
      <rPr>
        <sz val="10"/>
        <color rgb="FF000000"/>
        <rFont val="Yu Gothic"/>
        <family val="0"/>
        <charset val="1"/>
      </rPr>
      <t xml:space="preserve">6</t>
    </r>
    <r>
      <rPr>
        <sz val="10"/>
        <color rgb="FF000000"/>
        <rFont val="Noto Sans CJK SC"/>
        <family val="2"/>
      </rPr>
      <t xml:space="preserve">ヶ月目</t>
    </r>
  </si>
  <si>
    <r>
      <rPr>
        <sz val="10"/>
        <color rgb="FF000000"/>
        <rFont val="Yu Gothic"/>
        <family val="0"/>
        <charset val="1"/>
      </rPr>
      <t xml:space="preserve">7</t>
    </r>
    <r>
      <rPr>
        <sz val="10"/>
        <color rgb="FF000000"/>
        <rFont val="Noto Sans CJK SC"/>
        <family val="2"/>
      </rPr>
      <t xml:space="preserve">ヶ月目</t>
    </r>
  </si>
  <si>
    <r>
      <rPr>
        <sz val="10"/>
        <color rgb="FF000000"/>
        <rFont val="Yu Gothic"/>
        <family val="0"/>
        <charset val="1"/>
      </rPr>
      <t xml:space="preserve">8</t>
    </r>
    <r>
      <rPr>
        <sz val="10"/>
        <color rgb="FF000000"/>
        <rFont val="Noto Sans CJK SC"/>
        <family val="2"/>
      </rPr>
      <t xml:space="preserve">ヶ月目</t>
    </r>
  </si>
  <si>
    <r>
      <rPr>
        <sz val="10"/>
        <color rgb="FF000000"/>
        <rFont val="Yu Gothic"/>
        <family val="0"/>
        <charset val="1"/>
      </rPr>
      <t xml:space="preserve">9</t>
    </r>
    <r>
      <rPr>
        <sz val="10"/>
        <color rgb="FF000000"/>
        <rFont val="Noto Sans CJK SC"/>
        <family val="2"/>
      </rPr>
      <t xml:space="preserve">ヶ月目</t>
    </r>
  </si>
  <si>
    <r>
      <rPr>
        <sz val="10"/>
        <color rgb="FF000000"/>
        <rFont val="Yu Gothic"/>
        <family val="0"/>
        <charset val="1"/>
      </rPr>
      <t xml:space="preserve">10</t>
    </r>
    <r>
      <rPr>
        <sz val="10"/>
        <color rgb="FF000000"/>
        <rFont val="Noto Sans CJK SC"/>
        <family val="2"/>
      </rPr>
      <t xml:space="preserve">ヶ月目</t>
    </r>
  </si>
  <si>
    <r>
      <rPr>
        <sz val="10"/>
        <color rgb="FF000000"/>
        <rFont val="Yu Gothic"/>
        <family val="0"/>
        <charset val="1"/>
      </rPr>
      <t xml:space="preserve">11</t>
    </r>
    <r>
      <rPr>
        <sz val="10"/>
        <color rgb="FF000000"/>
        <rFont val="Noto Sans CJK SC"/>
        <family val="2"/>
      </rPr>
      <t xml:space="preserve">ヶ月目</t>
    </r>
  </si>
  <si>
    <r>
      <rPr>
        <sz val="10"/>
        <color rgb="FF000000"/>
        <rFont val="Yu Gothic"/>
        <family val="0"/>
        <charset val="1"/>
      </rPr>
      <t xml:space="preserve">12</t>
    </r>
    <r>
      <rPr>
        <sz val="10"/>
        <color rgb="FF000000"/>
        <rFont val="Noto Sans CJK SC"/>
        <family val="2"/>
      </rPr>
      <t xml:space="preserve">ヶ月目</t>
    </r>
  </si>
  <si>
    <t xml:space="preserve">合計／12ヶ月目時点</t>
  </si>
  <si>
    <t xml:space="preserve">■ 月次コスト構造（固定で発生する想定の費用）</t>
  </si>
  <si>
    <t xml:space="preserve">費目</t>
  </si>
  <si>
    <t xml:space="preserve">月額(円)</t>
  </si>
  <si>
    <t xml:space="preserve">サーバー・インフラ費</t>
  </si>
  <si>
    <t xml:space="preserve">固定費</t>
  </si>
  <si>
    <r>
      <rPr>
        <i val="true"/>
        <sz val="9"/>
        <color rgb="FF808080"/>
        <rFont val="Noto Sans"/>
        <family val="0"/>
        <charset val="1"/>
      </rPr>
      <t xml:space="preserve">Firebase</t>
    </r>
    <r>
      <rPr>
        <i val="true"/>
        <sz val="9"/>
        <color rgb="FF808080"/>
        <rFont val="Noto Sans CJK SC"/>
        <family val="2"/>
      </rPr>
      <t xml:space="preserve">／</t>
    </r>
    <r>
      <rPr>
        <i val="true"/>
        <sz val="9"/>
        <color rgb="FF808080"/>
        <rFont val="Noto Sans"/>
        <family val="0"/>
        <charset val="1"/>
      </rPr>
      <t xml:space="preserve">Vercel</t>
    </r>
    <r>
      <rPr>
        <i val="true"/>
        <sz val="9"/>
        <color rgb="FF808080"/>
        <rFont val="Noto Sans CJK SC"/>
        <family val="2"/>
      </rPr>
      <t xml:space="preserve">の無料枠内のため</t>
    </r>
    <r>
      <rPr>
        <i val="true"/>
        <sz val="9"/>
        <color rgb="FF808080"/>
        <rFont val="Noto Sans"/>
        <family val="0"/>
        <charset val="1"/>
      </rPr>
      <t xml:space="preserve">0</t>
    </r>
    <r>
      <rPr>
        <i val="true"/>
        <sz val="9"/>
        <color rgb="FF808080"/>
        <rFont val="Noto Sans CJK SC"/>
        <family val="2"/>
      </rPr>
      <t xml:space="preserve">円で運用</t>
    </r>
  </si>
  <si>
    <t xml:space="preserve">決済手数料</t>
  </si>
  <si>
    <t xml:space="preserve">変動費</t>
  </si>
  <si>
    <t xml:space="preserve">現状決済機能なし（アフィリエイト経由のため発生しない）</t>
  </si>
  <si>
    <t xml:space="preserve">外注費・ツール利用料</t>
  </si>
  <si>
    <t xml:space="preserve">独自ドメイン代等（年間費用を月割り）</t>
  </si>
  <si>
    <t xml:space="preserve">広告宣伝費</t>
  </si>
  <si>
    <t xml:space="preserve">当面SNS運用のみで広告費はかけない</t>
  </si>
  <si>
    <t xml:space="preserve">その他</t>
  </si>
  <si>
    <t xml:space="preserve">月次コスト合計</t>
  </si>
  <si>
    <t xml:space="preserve">■ 月次損益シミュレーション（損益分岐点の確認）</t>
  </si>
  <si>
    <t xml:space="preserve">売上(円)</t>
  </si>
  <si>
    <t xml:space="preserve">コスト(円)</t>
  </si>
  <si>
    <t xml:space="preserve">月次損益(円)</t>
  </si>
  <si>
    <t xml:space="preserve">累計損益(円)</t>
  </si>
  <si>
    <t xml:space="preserve">※ 累計損益(E列)がプラスに転じた月が「損益分岐点」の目安です。緑＝黒字、オレンジ＝赤字。</t>
  </si>
  <si>
    <r>
      <rPr>
        <b val="true"/>
        <sz val="11"/>
        <color rgb="FFFFFFFF"/>
        <rFont val="Yu Gothic"/>
        <family val="0"/>
        <charset val="1"/>
      </rPr>
      <t xml:space="preserve">■ KPI</t>
    </r>
    <r>
      <rPr>
        <b val="true"/>
        <sz val="11"/>
        <color rgb="FFFFFFFF"/>
        <rFont val="Noto Sans CJK SC"/>
        <family val="2"/>
      </rPr>
      <t xml:space="preserve">管理</t>
    </r>
  </si>
  <si>
    <r>
      <rPr>
        <b val="true"/>
        <sz val="10"/>
        <color rgb="FFFFFFFF"/>
        <rFont val="Yu Gothic"/>
        <family val="0"/>
        <charset val="1"/>
      </rPr>
      <t xml:space="preserve">KPI</t>
    </r>
    <r>
      <rPr>
        <b val="true"/>
        <sz val="10"/>
        <color rgb="FFFFFFFF"/>
        <rFont val="Noto Sans CJK SC"/>
        <family val="2"/>
      </rPr>
      <t xml:space="preserve">名</t>
    </r>
  </si>
  <si>
    <t xml:space="preserve">目標値</t>
  </si>
  <si>
    <t xml:space="preserve">実績値</t>
  </si>
  <si>
    <t xml:space="preserve">達成率</t>
  </si>
  <si>
    <t xml:space="preserve">掲載店舗数</t>
  </si>
  <si>
    <t xml:space="preserve">月間送客（予約）件数</t>
  </si>
  <si>
    <t xml:space="preserve">月間PV数</t>
  </si>
  <si>
    <t xml:space="preserve">※ エリア拡大（大阪→京都・神戸→他都市）は掲載店舗数KPIの達成度を見ながら判断。詳細は①要件定義書No.2、⑨課題・リスク管理を参照</t>
  </si>
  <si>
    <t xml:space="preserve">スケジュール管理（予定・実績）</t>
  </si>
  <si>
    <t xml:space="preserve">※ 青字＝入力欄（予定日・実績日・進捗率）。黒字＝自動計算。右側のガント表は 青=予定期間 / 緑=実績期間 を自動表示します。</t>
  </si>
  <si>
    <t xml:space="preserve">プロジェクト開始日</t>
  </si>
  <si>
    <t xml:space="preserve">フェーズ</t>
  </si>
  <si>
    <t xml:space="preserve">タスク名</t>
  </si>
  <si>
    <t xml:space="preserve">予定開始日</t>
  </si>
  <si>
    <t xml:space="preserve">予定終了日</t>
  </si>
  <si>
    <t xml:space="preserve">予定工数(日)</t>
  </si>
  <si>
    <t xml:space="preserve">実績開始日</t>
  </si>
  <si>
    <t xml:space="preserve">実績終了日</t>
  </si>
  <si>
    <t xml:space="preserve">実績工数(日)</t>
  </si>
  <si>
    <t xml:space="preserve">進捗率</t>
  </si>
  <si>
    <t xml:space="preserve">遅延日数</t>
  </si>
  <si>
    <t xml:space="preserve">要件定義</t>
  </si>
  <si>
    <t xml:space="preserve">要件ヒアリング・要件定義書作成</t>
  </si>
  <si>
    <t xml:space="preserve">完了</t>
  </si>
  <si>
    <t xml:space="preserve">基本設計</t>
  </si>
  <si>
    <t xml:space="preserve">基本設計書作成</t>
  </si>
  <si>
    <t xml:space="preserve">詳細設計</t>
  </si>
  <si>
    <t xml:space="preserve">詳細設計書作成（画面・DB・API）</t>
  </si>
  <si>
    <t xml:space="preserve">実装(Phase1 MVP)</t>
  </si>
  <si>
    <t xml:space="preserve">検索・一覧・地図連動画面の実装</t>
  </si>
  <si>
    <r>
      <rPr>
        <sz val="10"/>
        <color rgb="FF000000"/>
        <rFont val="Yu Gothic"/>
        <family val="0"/>
        <charset val="1"/>
      </rPr>
      <t xml:space="preserve">AI+</t>
    </r>
    <r>
      <rPr>
        <sz val="10"/>
        <color rgb="FF000000"/>
        <rFont val="Noto Sans CJK SC"/>
        <family val="2"/>
      </rPr>
      <t xml:space="preserve">自分</t>
    </r>
  </si>
  <si>
    <t xml:space="preserve">進行中</t>
  </si>
  <si>
    <t xml:space="preserve">データ投入・データ入れ替え（CSV取込ツールに全件削除→再取込オプションを追加）</t>
  </si>
  <si>
    <t xml:space="preserve">実装(Phase2)</t>
  </si>
  <si>
    <r>
      <rPr>
        <sz val="8"/>
        <color rgb="FF000000"/>
        <rFont val="Noto Sans"/>
        <family val="0"/>
        <charset val="1"/>
      </rPr>
      <t xml:space="preserve">Google</t>
    </r>
    <r>
      <rPr>
        <sz val="8"/>
        <color rgb="FF000000"/>
        <rFont val="Noto Sans CJK SC"/>
        <family val="2"/>
      </rPr>
      <t xml:space="preserve">ログイン（</t>
    </r>
    <r>
      <rPr>
        <sz val="8"/>
        <color rgb="FF000000"/>
        <rFont val="Noto Sans"/>
        <family val="0"/>
        <charset val="1"/>
      </rPr>
      <t xml:space="preserve">4</t>
    </r>
    <r>
      <rPr>
        <sz val="8"/>
        <color rgb="FF000000"/>
        <rFont val="Noto Sans CJK SC"/>
        <family val="2"/>
      </rPr>
      <t xml:space="preserve">段階ロール：オーナー</t>
    </r>
    <r>
      <rPr>
        <sz val="8"/>
        <color rgb="FF000000"/>
        <rFont val="Noto Sans"/>
        <family val="0"/>
        <charset val="1"/>
      </rPr>
      <t xml:space="preserve">/</t>
    </r>
    <r>
      <rPr>
        <sz val="8"/>
        <color rgb="FF000000"/>
        <rFont val="Noto Sans CJK SC"/>
        <family val="2"/>
      </rPr>
      <t xml:space="preserve">編集者</t>
    </r>
    <r>
      <rPr>
        <sz val="8"/>
        <color rgb="FF000000"/>
        <rFont val="Noto Sans"/>
        <family val="0"/>
        <charset val="1"/>
      </rPr>
      <t xml:space="preserve">/</t>
    </r>
    <r>
      <rPr>
        <sz val="8"/>
        <color rgb="FF000000"/>
        <rFont val="Noto Sans CJK SC"/>
        <family val="2"/>
      </rPr>
      <t xml:space="preserve">ログインユーザー</t>
    </r>
    <r>
      <rPr>
        <sz val="8"/>
        <color rgb="FF000000"/>
        <rFont val="Noto Sans"/>
        <family val="0"/>
        <charset val="1"/>
      </rPr>
      <t xml:space="preserve">/</t>
    </r>
    <r>
      <rPr>
        <sz val="8"/>
        <color rgb="FF000000"/>
        <rFont val="Noto Sans CJK SC"/>
        <family val="2"/>
      </rPr>
      <t xml:space="preserve">閲覧）実装</t>
    </r>
  </si>
  <si>
    <t xml:space="preserve">実装(Phase3)</t>
  </si>
  <si>
    <r>
      <rPr>
        <sz val="8"/>
        <color rgb="FF000000"/>
        <rFont val="Noto Sans"/>
        <family val="0"/>
        <charset val="1"/>
      </rPr>
      <t xml:space="preserve">CSV</t>
    </r>
    <r>
      <rPr>
        <sz val="8"/>
        <color rgb="FF000000"/>
        <rFont val="Noto Sans CJK SC"/>
        <family val="2"/>
      </rPr>
      <t xml:space="preserve">一括インポート</t>
    </r>
    <r>
      <rPr>
        <sz val="8"/>
        <color rgb="FF000000"/>
        <rFont val="Noto Sans"/>
        <family val="0"/>
        <charset val="1"/>
      </rPr>
      <t xml:space="preserve">/</t>
    </r>
    <r>
      <rPr>
        <sz val="8"/>
        <color rgb="FF000000"/>
        <rFont val="Noto Sans CJK SC"/>
        <family val="2"/>
      </rPr>
      <t xml:space="preserve">エクスポート・削除依頼実装</t>
    </r>
  </si>
  <si>
    <r>
      <rPr>
        <sz val="10"/>
        <color rgb="FF000000"/>
        <rFont val="Noto Sans"/>
        <family val="0"/>
        <charset val="1"/>
      </rPr>
      <t xml:space="preserve">AI+</t>
    </r>
    <r>
      <rPr>
        <sz val="10"/>
        <color rgb="FF000000"/>
        <rFont val="Noto Sans CJK SC"/>
        <family val="2"/>
      </rPr>
      <t xml:space="preserve">自分</t>
    </r>
  </si>
  <si>
    <t xml:space="preserve">テスト</t>
  </si>
  <si>
    <t xml:space="preserve">単体・結合テスト</t>
  </si>
  <si>
    <t xml:space="preserve">リリース</t>
  </si>
  <si>
    <t xml:space="preserve">本番環境構築・デプロイ</t>
  </si>
  <si>
    <r>
      <rPr>
        <sz val="8"/>
        <color rgb="FF000000"/>
        <rFont val="Noto Sans"/>
        <family val="0"/>
        <charset val="1"/>
      </rPr>
      <t xml:space="preserve">α</t>
    </r>
    <r>
      <rPr>
        <sz val="8"/>
        <color rgb="FF000000"/>
        <rFont val="Noto Sans CJK SC"/>
        <family val="2"/>
      </rPr>
      <t xml:space="preserve">版公開（検索・閲覧のみ）</t>
    </r>
  </si>
  <si>
    <t xml:space="preserve">運用</t>
  </si>
  <si>
    <t xml:space="preserve">運用・モニタリング、アフィリエイトリンク設定</t>
  </si>
  <si>
    <t xml:space="preserve">予算管理（予算 vs 実績）</t>
  </si>
  <si>
    <t xml:space="preserve">※ 青字セルが入力欄（予算・実績）です。黒字セルは自動計算（差異・差異率）です。マイナスは赤字▲表示になります。</t>
  </si>
  <si>
    <t xml:space="preserve">■ 費目別 年間予算・実績</t>
  </si>
  <si>
    <t xml:space="preserve">年間予算(円)</t>
  </si>
  <si>
    <t xml:space="preserve">年間実績(円)</t>
  </si>
  <si>
    <t xml:space="preserve">差異(円)</t>
  </si>
  <si>
    <t xml:space="preserve">差異率</t>
  </si>
  <si>
    <t xml:space="preserve">アフィリエイト収入</t>
  </si>
  <si>
    <t xml:space="preserve">収入</t>
  </si>
  <si>
    <t xml:space="preserve">その他収入（note等）</t>
  </si>
  <si>
    <t xml:space="preserve">支出</t>
  </si>
  <si>
    <t xml:space="preserve">その他経費</t>
  </si>
  <si>
    <t xml:space="preserve">収入合計</t>
  </si>
  <si>
    <t xml:space="preserve">支出合計</t>
  </si>
  <si>
    <t xml:space="preserve">年間収支（利益）</t>
  </si>
  <si>
    <t xml:space="preserve">■ 月次収支（予実）</t>
  </si>
  <si>
    <t xml:space="preserve">会計年度開始月</t>
  </si>
  <si>
    <t xml:space="preserve">予算収入(円)</t>
  </si>
  <si>
    <t xml:space="preserve">実績収入(円)</t>
  </si>
  <si>
    <t xml:space="preserve">予算支出(円)</t>
  </si>
  <si>
    <t xml:space="preserve">実績支出(円)</t>
  </si>
  <si>
    <t xml:space="preserve">予算損益(円)</t>
  </si>
  <si>
    <t xml:space="preserve">実績損益(円)</t>
  </si>
  <si>
    <t xml:space="preserve">損益差異(円)</t>
  </si>
  <si>
    <t xml:space="preserve">年間合計</t>
  </si>
  <si>
    <t xml:space="preserve">課題・リスク管理</t>
  </si>
  <si>
    <t xml:space="preserve">登録日</t>
  </si>
  <si>
    <t xml:space="preserve">影響度</t>
  </si>
  <si>
    <t xml:space="preserve">期限</t>
  </si>
  <si>
    <t xml:space="preserve">リスク</t>
  </si>
  <si>
    <r>
      <rPr>
        <i val="true"/>
        <sz val="9"/>
        <color rgb="FF808080"/>
        <rFont val="Noto Sans"/>
        <family val="0"/>
        <charset val="1"/>
      </rPr>
      <t xml:space="preserve">Google Maps API</t>
    </r>
    <r>
      <rPr>
        <i val="true"/>
        <sz val="9"/>
        <color rgb="FF808080"/>
        <rFont val="Noto Sans CJK SC"/>
        <family val="2"/>
      </rPr>
      <t xml:space="preserve">の無料枠上限を超えるとコストが発生する可能性がある</t>
    </r>
  </si>
  <si>
    <t xml:space="preserve">課題</t>
  </si>
  <si>
    <t xml:space="preserve">合言葉方式は編集者が増えるとセキュリティ・運用面で限界があるため、将来のGoogle認証移行を検討する必要がある</t>
  </si>
  <si>
    <t xml:space="preserve">対応中</t>
  </si>
  <si>
    <r>
      <rPr>
        <sz val="10"/>
        <color rgb="FF000000"/>
        <rFont val="Yu Gothic"/>
        <family val="0"/>
        <charset val="1"/>
      </rPr>
      <t xml:space="preserve">→ Google</t>
    </r>
    <r>
      <rPr>
        <sz val="10"/>
        <color rgb="FF000000"/>
        <rFont val="Noto Sans CJK SC"/>
        <family val="2"/>
      </rPr>
      <t xml:space="preserve">ログイン＋許可リスト方式へ変更決定（①要件定義書</t>
    </r>
    <r>
      <rPr>
        <sz val="10"/>
        <color rgb="FF000000"/>
        <rFont val="Yu Gothic"/>
        <family val="0"/>
        <charset val="1"/>
      </rPr>
      <t xml:space="preserve">No.20</t>
    </r>
    <r>
      <rPr>
        <sz val="10"/>
        <color rgb="FF000000"/>
        <rFont val="Noto Sans CJK SC"/>
        <family val="2"/>
      </rPr>
      <t xml:space="preserve">、②基本設計書</t>
    </r>
    <r>
      <rPr>
        <sz val="10"/>
        <color rgb="FF000000"/>
        <rFont val="Yu Gothic"/>
        <family val="0"/>
        <charset val="1"/>
      </rPr>
      <t xml:space="preserve">No.17</t>
    </r>
    <r>
      <rPr>
        <sz val="10"/>
        <color rgb="FF000000"/>
        <rFont val="Noto Sans CJK SC"/>
        <family val="2"/>
      </rPr>
      <t xml:space="preserve">参照）</t>
    </r>
  </si>
  <si>
    <t xml:space="preserve">大阪以外への拡大時、どのエリア（京都・神戸・東京など）を優先するか要検討</t>
  </si>
  <si>
    <t xml:space="preserve">低</t>
  </si>
  <si>
    <t xml:space="preserve">ログイン機能導入に伴い、プライバシーポリシーの作成・掲載が必要</t>
  </si>
  <si>
    <t xml:space="preserve">エリア階層（都道府県／市区町村／エリア）とジャンル20種の最終確定版リストを作成する必要がある</t>
  </si>
  <si>
    <r>
      <rPr>
        <sz val="11"/>
        <color theme="1"/>
        <rFont val="Calibri"/>
        <family val="0"/>
        <charset val="1"/>
      </rPr>
      <t xml:space="preserve">Google Maps API</t>
    </r>
    <r>
      <rPr>
        <sz val="11"/>
        <color theme="1"/>
        <rFont val="Noto Sans CJK SC"/>
        <family val="2"/>
      </rPr>
      <t xml:space="preserve">利用には支払い情報（クレジットカード）の登録が必須。想定規模では無料枠内だが、予算アラート設定で上限を監視する</t>
    </r>
  </si>
  <si>
    <t xml:space="preserve">オーナー権限の初期設定（Firebaseコンソールでroleをownerに手動変更）を実施する必要がある</t>
  </si>
  <si>
    <t xml:space="preserve">高</t>
  </si>
  <si>
    <r>
      <rPr>
        <sz val="11"/>
        <color theme="1"/>
        <rFont val="Calibri"/>
        <family val="0"/>
        <charset val="1"/>
      </rPr>
      <t xml:space="preserve">EmailJS</t>
    </r>
    <r>
      <rPr>
        <sz val="11"/>
        <color theme="1"/>
        <rFont val="Noto Sans CJK SC"/>
        <family val="2"/>
      </rPr>
      <t xml:space="preserve">の無料枠（月</t>
    </r>
    <r>
      <rPr>
        <sz val="11"/>
        <color theme="1"/>
        <rFont val="Calibri"/>
        <family val="0"/>
        <charset val="1"/>
      </rPr>
      <t xml:space="preserve">200</t>
    </r>
    <r>
      <rPr>
        <sz val="11"/>
        <color theme="1"/>
        <rFont val="Noto Sans CJK SC"/>
        <family val="2"/>
      </rPr>
      <t xml:space="preserve">通）を超えた場合の対応方針を検討する必要がある（想定運用では超過の可能性は低い）</t>
    </r>
  </si>
  <si>
    <t xml:space="preserve">大量データを一括取込する際、Geocoding APIへの問い合わせが集中すると一部失敗することがある（対策：リクエスト間隔調整・再取得ツールで対応済み）</t>
  </si>
  <si>
    <t xml:space="preserve">対応済み</t>
  </si>
  <si>
    <t xml:space="preserve">地図位置の再取得で失敗が多数発生。原因調査のためGoogle応答コード（ZERO_RESULTS/REQUEST_DENIED等）をログに表示するよう変更。次回再取得時の結果待ち</t>
  </si>
  <si>
    <r>
      <rPr>
        <sz val="11"/>
        <color theme="1"/>
        <rFont val="Calibri"/>
        <family val="0"/>
        <charset val="1"/>
      </rPr>
      <t xml:space="preserve">wishlist</t>
    </r>
    <r>
      <rPr>
        <sz val="11"/>
        <color theme="1"/>
        <rFont val="Noto Sans CJK SC"/>
        <family val="2"/>
      </rPr>
      <t xml:space="preserve">の「匿名」は</t>
    </r>
    <r>
      <rPr>
        <sz val="11"/>
        <color theme="1"/>
        <rFont val="Calibri"/>
        <family val="0"/>
        <charset val="1"/>
      </rPr>
      <t xml:space="preserve">UI</t>
    </r>
    <r>
      <rPr>
        <sz val="11"/>
        <color theme="1"/>
        <rFont val="Noto Sans CJK SC"/>
        <family val="2"/>
      </rPr>
      <t xml:space="preserve">上の非表示にとどまり、</t>
    </r>
    <r>
      <rPr>
        <sz val="11"/>
        <color theme="1"/>
        <rFont val="Calibri"/>
        <family val="0"/>
        <charset val="1"/>
      </rPr>
      <t xml:space="preserve">users </t>
    </r>
    <r>
      <rPr>
        <sz val="11"/>
        <color theme="1"/>
        <rFont val="Noto Sans CJK SC"/>
        <family val="2"/>
      </rPr>
      <t xml:space="preserve">コレクションを直接読めば技術的には特定され得る（本人に伝達済み）</t>
    </r>
  </si>
  <si>
    <t xml:space="preserve">対象外（仕様として許容）</t>
  </si>
  <si>
    <t xml:space="preserve">変更履歴</t>
  </si>
  <si>
    <t xml:space="preserve">更新日</t>
  </si>
  <si>
    <t xml:space="preserve">更新者</t>
  </si>
  <si>
    <t xml:space="preserve">更新内容</t>
  </si>
  <si>
    <t xml:space="preserve">自分（Claude支援）</t>
  </si>
  <si>
    <t xml:space="preserve">①要件定義書〜⑧予算管理までを「おかログ」プロジェクト向けに初期記入</t>
  </si>
  <si>
    <t xml:space="preserve">v1.1</t>
  </si>
  <si>
    <t xml:space="preserve">エリア拡大方針とGoogleログイン（許可リスト方式）への認証方式変更を反映</t>
  </si>
  <si>
    <t xml:space="preserve">v1.2</t>
  </si>
  <si>
    <t xml:space="preserve">エリアを都道府県／市区町村／エリアの3階層に、ジャンルを大手グルメサイト準拠の20種に変更。認証を4段階権限（オーナー／編集者／ログインユーザー／閲覧のみ）のGoogleログイン方式に変更</t>
  </si>
  <si>
    <t xml:space="preserve">v1.3</t>
  </si>
  <si>
    <t xml:space="preserve">地図ピン表示のためlat/lng項目を追加。Phase1 MVP（検索・一覧・地図連動画面、データ取込ツール）の実装に着手</t>
  </si>
  <si>
    <t xml:space="preserve">v1.4</t>
  </si>
  <si>
    <t xml:space="preserve">実データ163件（大阪・京都・兵庫・和歌山）取込に合わせジャンル/エリアマスタを更新。権限モデルを最終化（編集者は削除依頼のみ、削除はオーナー限定）。口コミ機能・お店追加編集モーダルを実装。モバイル向けに絞り込みUIをパネル形式に刷新。キャッチコピーを変更</t>
  </si>
  <si>
    <t xml:space="preserve">v1.5</t>
  </si>
  <si>
    <t xml:space="preserve">削除依頼をEmailJS経由でオーナーにメール通知する機能を追加。「削除依頼あり」の表示をオーナー・依頼者本人のみに限定（一般閲覧者・他の編集者には非表示）。オーナーが依頼を却下できる機能を追加</t>
  </si>
  <si>
    <t xml:space="preserve">v1.6</t>
  </si>
  <si>
    <t xml:space="preserve">検索UIを刷新：都道府県→エリア直結、ジャンル・シーンも単一選択プルダウンに変更し、絞り込みボタンを廃止して選択と同時に自動反映。一覧の「No.」表示を廃止。お店カードに住所・Googleマップへのリンク・予約サイトリンク・おすすめポイント（features）を表示するよう変更</t>
  </si>
  <si>
    <t xml:space="preserve">v1.7</t>
  </si>
  <si>
    <t xml:space="preserve">最新の店舗データ（155件、taste未評価の適正化・おすすめポイント更新を含む）に対応。データ取込ツール（import.html）に「既存データを全削除してから取り込む」オプションを追加し、リスト全体の入れ替えを安全に行えるようにした</t>
  </si>
  <si>
    <t xml:space="preserve">v1.8</t>
  </si>
  <si>
    <t xml:space="preserve">データ取込ツールに、地図位置（緯度経度）取得のリトライ処理とリクエスト間隔調整を追加し、大量一括登録時の失敗を軽減。取得に失敗した店舗だけを狙って再取得できる「地図位置の再取得」機能を追加</t>
  </si>
  <si>
    <t xml:space="preserve">v1.9</t>
  </si>
  <si>
    <t xml:space="preserve">提供いただいたロゴ画像をヘッダー・ファビコンに反映。ジオコーディング失敗時にGoogleの応答コードをログに表示するよう変更し、失敗原因（住所不正／API制限／課金設定等）を切り分けやすくした</t>
  </si>
  <si>
    <t xml:space="preserve">v2.0</t>
  </si>
  <si>
    <t xml:space="preserve">新機能「行きたい店リスト」（wishlist.html）を追加。ログインユーザーが匿名/実名を選んで行きたい店を登録でき、訪問した人が感想を投稿できる仕組みを実装</t>
  </si>
  <si>
    <t xml:space="preserve">v2.1</t>
  </si>
  <si>
    <t xml:space="preserve">行きたい店リストに感想が投稿されたとき、登録者へEmailJS経由でメール通知する機能を追加（匿名登録でも本人には通知。自分自身への通知は送らない）</t>
  </si>
  <si>
    <t xml:space="preserve">v2.2</t>
  </si>
  <si>
    <t xml:space="preserve">行きたい店リストに「参考リンク」欄を追加（Instagram投稿URL等を貼り付けて保存・一覧からワンクリックで開けるように）</t>
  </si>
  <si>
    <t xml:space="preserve">v2.3</t>
  </si>
  <si>
    <t xml:space="preserve">行きたい店リストで感想が付いた項目に「正式にお店リストへ登録する」ボタン（編集者・オーナー限定）を追加。店名・メモ・感想・参考リンクを引き継いだ状態で、正式なお店リストの追加フォームを開けるようにした</t>
  </si>
  <si>
    <t xml:space="preserve">v2.4</t>
  </si>
  <si>
    <t xml:space="preserve">用語を「行ってみたい店」「実際に行って良かった店」に統一。登録の入口を一本化し、ログインユーザーなら誰でも「＋お店を登録する」ボタンから登録タイプを選べるように変更</t>
  </si>
  <si>
    <t xml:space="preserve">v2.5</t>
  </si>
  <si>
    <t xml:space="preserve">行ってみたい店リストに絞り込みタブ（すべて／自分が登録した店、すべて／未訪問／訪問済み）を追加し、自分の登録状況を確認しやすくした</t>
  </si>
  <si>
    <t xml:space="preserve">v2.6</t>
  </si>
  <si>
    <t xml:space="preserve">「行ってみたい店」をホーム画面のタブとして統合（旧wishlist.htmlはリダイレクト化）。住所入力・地図表示に対応し、実際に行って良かった店（赤ピン）と行ってみたい店（青ピン）を色分け表示。用語を「行ってみたい店」に統一</t>
  </si>
  <si>
    <t xml:space="preserve">v2.7</t>
  </si>
  <si>
    <t xml:space="preserve">行ってみたい店に「編集」機能を追加（登録フォームを再利用したインライン編集）。編集・削除できる人を「登録した本人」「オーナー」のみに限定（編集者は対象外に変更）</t>
  </si>
  <si>
    <r>
      <rPr>
        <sz val="11"/>
        <color theme="1"/>
        <rFont val="Noto Sans CJK SC"/>
        <family val="2"/>
      </rPr>
      <t xml:space="preserve">自分（</t>
    </r>
    <r>
      <rPr>
        <sz val="11"/>
        <color theme="1"/>
        <rFont val="Calibri"/>
        <family val="0"/>
        <charset val="1"/>
      </rPr>
      <t xml:space="preserve">Claude</t>
    </r>
    <r>
      <rPr>
        <sz val="11"/>
        <color theme="1"/>
        <rFont val="Noto Sans CJK SC"/>
        <family val="2"/>
      </rPr>
      <t xml:space="preserve">支援）</t>
    </r>
  </si>
  <si>
    <t xml:space="preserve">v2.8</t>
  </si>
  <si>
    <t xml:space="preserve">行ってみたい店を「実際に行って良かった店」へ登録する導線を、訪問済み限定から未訪問でも編集者・オーナーが行えるように変更。店名・メモ・住所・参考リンクの内容はそのまま正式登録フォームへ引き継がれる</t>
  </si>
</sst>
</file>

<file path=xl/styles.xml><?xml version="1.0" encoding="utf-8"?>
<styleSheet xmlns="http://schemas.openxmlformats.org/spreadsheetml/2006/main">
  <numFmts count="14">
    <numFmt numFmtId="164" formatCode="General"/>
    <numFmt numFmtId="165" formatCode="yyyy\-mm\-dd\ h:mm:ss"/>
    <numFmt numFmtId="166" formatCode="0.0%"/>
    <numFmt numFmtId="167" formatCode="#,##0"/>
    <numFmt numFmtId="168" formatCode="\¥#,##0"/>
    <numFmt numFmtId="169" formatCode="\¥#,##0;[RED]&quot;(¥&quot;#,##0\)"/>
    <numFmt numFmtId="170" formatCode="yyyy/mm/dd"/>
    <numFmt numFmtId="171" formatCode="yy\年m\月"/>
    <numFmt numFmtId="172" formatCode="mm/dd"/>
    <numFmt numFmtId="173" formatCode="0%"/>
    <numFmt numFmtId="174" formatCode="General"/>
    <numFmt numFmtId="175" formatCode="\¥#,##0;[RED]&quot;▲¥&quot;#,##0"/>
    <numFmt numFmtId="176" formatCode="0.0%;[RED]\▲0.0%"/>
    <numFmt numFmtId="177" formatCode="yyyy\年m\月"/>
  </numFmts>
  <fonts count="37">
    <font>
      <sz val="11"/>
      <color theme="1"/>
      <name val="Calibri"/>
      <family val="0"/>
      <charset val="1"/>
    </font>
    <font>
      <sz val="10"/>
      <name val="Arial"/>
      <family val="0"/>
    </font>
    <font>
      <sz val="10"/>
      <name val="Arial"/>
      <family val="0"/>
    </font>
    <font>
      <sz val="10"/>
      <name val="Arial"/>
      <family val="0"/>
    </font>
    <font>
      <b val="true"/>
      <sz val="20"/>
      <color rgb="FF1F3864"/>
      <name val="Yu Gothic"/>
      <family val="0"/>
      <charset val="1"/>
    </font>
    <font>
      <b val="true"/>
      <sz val="20"/>
      <color rgb="FF1F3864"/>
      <name val="Noto Sans CJK SC"/>
      <family val="2"/>
    </font>
    <font>
      <sz val="11"/>
      <color rgb="FF808080"/>
      <name val="Noto Sans CJK SC"/>
      <family val="2"/>
      <charset val="1"/>
    </font>
    <font>
      <b val="true"/>
      <sz val="12"/>
      <color rgb="FFFFFFFF"/>
      <name val="Noto Sans CJK SC"/>
      <family val="2"/>
      <charset val="1"/>
    </font>
    <font>
      <b val="true"/>
      <sz val="10"/>
      <color rgb="FF000000"/>
      <name val="Noto Sans CJK SC"/>
      <family val="2"/>
      <charset val="1"/>
    </font>
    <font>
      <sz val="10"/>
      <color rgb="FF0000FF"/>
      <name val="Noto Sans CJK SC"/>
      <family val="2"/>
      <charset val="1"/>
    </font>
    <font>
      <sz val="10"/>
      <color rgb="FF0000FF"/>
      <name val="Yu Gothic"/>
      <family val="0"/>
      <charset val="1"/>
    </font>
    <font>
      <b val="true"/>
      <sz val="10"/>
      <color rgb="FF2F5496"/>
      <name val="Noto Sans CJK SC"/>
      <family val="2"/>
      <charset val="1"/>
    </font>
    <font>
      <sz val="9"/>
      <color rgb="FF000000"/>
      <name val="Noto Sans CJK SC"/>
      <family val="2"/>
      <charset val="1"/>
    </font>
    <font>
      <b val="true"/>
      <sz val="15"/>
      <color rgb="FFFFFFFF"/>
      <name val="Noto Sans CJK SC"/>
      <family val="2"/>
      <charset val="1"/>
    </font>
    <font>
      <b val="true"/>
      <sz val="10"/>
      <color rgb="FFFFFFFF"/>
      <name val="Yu Gothic"/>
      <family val="0"/>
      <charset val="1"/>
    </font>
    <font>
      <b val="true"/>
      <sz val="10"/>
      <color rgb="FFFFFFFF"/>
      <name val="Noto Sans CJK SC"/>
      <family val="2"/>
      <charset val="1"/>
    </font>
    <font>
      <b val="true"/>
      <sz val="11"/>
      <color rgb="FF000000"/>
      <name val="Yu Gothic"/>
      <family val="0"/>
      <charset val="1"/>
    </font>
    <font>
      <b val="true"/>
      <sz val="11"/>
      <color rgb="FF000000"/>
      <name val="Noto Sans CJK SC"/>
      <family val="2"/>
    </font>
    <font>
      <sz val="10"/>
      <color rgb="FF000000"/>
      <name val="Yu Gothic"/>
      <family val="0"/>
      <charset val="1"/>
    </font>
    <font>
      <sz val="10"/>
      <color rgb="FF000000"/>
      <name val="Noto Sans CJK SC"/>
      <family val="2"/>
      <charset val="1"/>
    </font>
    <font>
      <sz val="8"/>
      <color rgb="FF000000"/>
      <name val="Noto Sans CJK SC"/>
      <family val="2"/>
      <charset val="1"/>
    </font>
    <font>
      <sz val="10"/>
      <color rgb="FF000000"/>
      <name val="Noto Sans"/>
      <family val="0"/>
      <charset val="1"/>
    </font>
    <font>
      <sz val="10"/>
      <color rgb="FF000000"/>
      <name val="Noto Sans CJK SC"/>
      <family val="2"/>
    </font>
    <font>
      <sz val="8"/>
      <color rgb="FF000000"/>
      <name val="Noto Sans"/>
      <family val="0"/>
      <charset val="1"/>
    </font>
    <font>
      <sz val="8"/>
      <color rgb="FF000000"/>
      <name val="Noto Sans CJK SC"/>
      <family val="2"/>
    </font>
    <font>
      <b val="true"/>
      <sz val="11"/>
      <color rgb="FFFFFFFF"/>
      <name val="Noto Sans CJK SC"/>
      <family val="2"/>
      <charset val="1"/>
    </font>
    <font>
      <i val="true"/>
      <sz val="9"/>
      <color rgb="FF808080"/>
      <name val="Noto Sans CJK SC"/>
      <family val="2"/>
      <charset val="1"/>
    </font>
    <font>
      <b val="true"/>
      <sz val="10"/>
      <color rgb="FFFFFFFF"/>
      <name val="Noto Sans CJK SC"/>
      <family val="2"/>
    </font>
    <font>
      <sz val="11"/>
      <color theme="1"/>
      <name val="Noto Sans CJK SC"/>
      <family val="2"/>
      <charset val="1"/>
    </font>
    <font>
      <sz val="11"/>
      <color theme="1"/>
      <name val="Noto Sans CJK SC"/>
      <family val="2"/>
    </font>
    <font>
      <b val="true"/>
      <sz val="11"/>
      <color rgb="FFFFFFFF"/>
      <name val="Yu Gothic"/>
      <family val="0"/>
      <charset val="1"/>
    </font>
    <font>
      <b val="true"/>
      <sz val="11"/>
      <color rgb="FFFFFFFF"/>
      <name val="Noto Sans CJK SC"/>
      <family val="2"/>
    </font>
    <font>
      <i val="true"/>
      <sz val="9"/>
      <color rgb="FF808080"/>
      <name val="Noto Sans"/>
      <family val="0"/>
      <charset val="1"/>
    </font>
    <font>
      <i val="true"/>
      <sz val="9"/>
      <color rgb="FF808080"/>
      <name val="Noto Sans CJK SC"/>
      <family val="2"/>
    </font>
    <font>
      <b val="true"/>
      <sz val="9"/>
      <color rgb="FF000000"/>
      <name val="Noto Sans CJK SC"/>
      <family val="2"/>
      <charset val="1"/>
    </font>
    <font>
      <b val="true"/>
      <sz val="10"/>
      <color rgb="FF2F5496"/>
      <name val="Yu Gothic"/>
      <family val="0"/>
      <charset val="1"/>
    </font>
    <font>
      <b val="true"/>
      <sz val="8"/>
      <color rgb="FFFFFFFF"/>
      <name val="Yu Gothic"/>
      <family val="0"/>
      <charset val="1"/>
    </font>
  </fonts>
  <fills count="6">
    <fill>
      <patternFill patternType="none"/>
    </fill>
    <fill>
      <patternFill patternType="gray125"/>
    </fill>
    <fill>
      <patternFill patternType="solid">
        <fgColor rgb="FF2F5496"/>
        <bgColor rgb="FF1F3864"/>
      </patternFill>
    </fill>
    <fill>
      <patternFill patternType="solid">
        <fgColor rgb="FFEEF2FA"/>
        <bgColor rgb="FFF2F2F2"/>
      </patternFill>
    </fill>
    <fill>
      <patternFill patternType="solid">
        <fgColor rgb="FF1F3864"/>
        <bgColor rgb="FF2F5496"/>
      </patternFill>
    </fill>
    <fill>
      <patternFill patternType="solid">
        <fgColor rgb="FFD9E2F3"/>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10"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25" fillId="2" borderId="0" xfId="0" applyFont="true" applyBorder="true" applyAlignment="true" applyProtection="false">
      <alignment horizontal="left" vertical="center"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32" fillId="0" borderId="1" xfId="0" applyFont="true" applyBorder="tru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righ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6" fontId="35" fillId="0" borderId="0" xfId="0" applyFont="true" applyBorder="fals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8" fontId="18" fillId="0" borderId="1" xfId="0" applyFont="true" applyBorder="true" applyAlignment="true" applyProtection="false">
      <alignment horizontal="center" vertical="center" textRotation="0" wrapText="true" indent="0" shrinkToFit="false"/>
      <protection locked="true" hidden="false"/>
    </xf>
    <xf numFmtId="167" fontId="18"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8" fontId="18" fillId="5" borderId="1" xfId="0" applyFont="true" applyBorder="true" applyAlignment="true" applyProtection="false">
      <alignment horizontal="center" vertical="center" textRotation="0" wrapText="true" indent="0" shrinkToFit="false"/>
      <protection locked="true" hidden="false"/>
    </xf>
    <xf numFmtId="167" fontId="18" fillId="5" borderId="1" xfId="0" applyFont="true" applyBorder="true" applyAlignment="true" applyProtection="false">
      <alignment horizontal="center" vertical="center" textRotation="0" wrapText="true" indent="0" shrinkToFit="false"/>
      <protection locked="true" hidden="false"/>
    </xf>
    <xf numFmtId="169" fontId="18" fillId="0"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71" fontId="36" fillId="2"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72" fontId="10" fillId="0" borderId="1" xfId="0" applyFont="true" applyBorder="true" applyAlignment="true" applyProtection="false">
      <alignment horizontal="center" vertical="center" textRotation="0" wrapText="true" indent="0" shrinkToFit="false"/>
      <protection locked="true" hidden="false"/>
    </xf>
    <xf numFmtId="173" fontId="10" fillId="0" borderId="1" xfId="0" applyFont="true" applyBorder="true" applyAlignment="true" applyProtection="false">
      <alignment horizontal="center" vertical="center" textRotation="0" wrapText="true" indent="0" shrinkToFit="false"/>
      <protection locked="true" hidden="false"/>
    </xf>
    <xf numFmtId="174" fontId="1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75" fontId="18" fillId="0" borderId="1" xfId="0" applyFont="true" applyBorder="true" applyAlignment="true" applyProtection="false">
      <alignment horizontal="center" vertical="center" textRotation="0" wrapText="true" indent="0" shrinkToFit="false"/>
      <protection locked="true" hidden="false"/>
    </xf>
    <xf numFmtId="176" fontId="18" fillId="0" borderId="1" xfId="0" applyFont="true" applyBorder="true" applyAlignment="true" applyProtection="false">
      <alignment horizontal="center" vertical="center" textRotation="0" wrapText="true" indent="0" shrinkToFit="false"/>
      <protection locked="true" hidden="false"/>
    </xf>
    <xf numFmtId="175" fontId="18" fillId="5" borderId="1" xfId="0" applyFont="true" applyBorder="true" applyAlignment="true" applyProtection="false">
      <alignment horizontal="center" vertical="center" textRotation="0" wrapText="true" indent="0" shrinkToFit="false"/>
      <protection locked="true" hidden="false"/>
    </xf>
    <xf numFmtId="176" fontId="18" fillId="5" borderId="1" xfId="0" applyFont="true" applyBorder="true" applyAlignment="true" applyProtection="false">
      <alignment horizontal="center" vertical="center" textRotation="0" wrapText="true" indent="0" shrinkToFit="false"/>
      <protection locked="true" hidden="false"/>
    </xf>
    <xf numFmtId="164" fontId="25"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75" fontId="30" fillId="4" borderId="1" xfId="0" applyFont="true" applyBorder="true" applyAlignment="true" applyProtection="false">
      <alignment horizontal="center" vertical="center" textRotation="0" wrapText="true" indent="0" shrinkToFit="false"/>
      <protection locked="true" hidden="false"/>
    </xf>
    <xf numFmtId="177" fontId="18" fillId="0" borderId="1" xfId="0" applyFont="true" applyBorder="true" applyAlignment="true" applyProtection="false">
      <alignment horizontal="center" vertical="center" textRotation="0" wrapText="true" indent="0" shrinkToFit="false"/>
      <protection locked="true" hidden="false"/>
    </xf>
    <xf numFmtId="165" fontId="18" fillId="0"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E2EFDA"/>
        </patternFill>
      </fill>
    </dxf>
    <dxf>
      <fill>
        <patternFill>
          <bgColor rgb="FFF2F2F2"/>
        </patternFill>
      </fill>
    </dxf>
    <dxf>
      <fill>
        <patternFill>
          <bgColor rgb="FFFCE4D6"/>
        </patternFill>
      </fill>
    </dxf>
    <dxf>
      <fill>
        <patternFill>
          <bgColor rgb="FF70AD47"/>
        </patternFill>
      </fill>
    </dxf>
    <dxf>
      <fill>
        <patternFill>
          <bgColor rgb="FF9DC3E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EF2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CE4D6"/>
      <rgbColor rgb="FF3366FF"/>
      <rgbColor rgb="FF33CCCC"/>
      <rgbColor rgb="FF99CC00"/>
      <rgbColor rgb="FFFFCC00"/>
      <rgbColor rgb="FFBF8F00"/>
      <rgbColor rgb="FFC55A11"/>
      <rgbColor rgb="FF666699"/>
      <rgbColor rgb="FF70AD47"/>
      <rgbColor rgb="FF1F3864"/>
      <rgbColor rgb="FF339966"/>
      <rgbColor rgb="FF003300"/>
      <rgbColor rgb="FF333300"/>
      <rgbColor rgb="FF993300"/>
      <rgbColor rgb="FF993366"/>
      <rgbColor rgb="FF2F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3" min="3" style="1" width="93.14"/>
    <col collapsed="false" customWidth="true" hidden="false" outlineLevel="0" max="4" min="4" style="1" width="3"/>
    <col collapsed="false" customWidth="true" hidden="false" outlineLevel="0" max="26" min="5" style="1" width="8.71"/>
  </cols>
  <sheetData>
    <row r="1" customFormat="false" ht="15" hidden="false" customHeight="true" outlineLevel="0" collapsed="false"/>
    <row r="2" customFormat="false" ht="15" hidden="false" customHeight="true" outlineLevel="0" collapsed="false">
      <c r="B2" s="2" t="s">
        <v>0</v>
      </c>
      <c r="C2" s="2"/>
    </row>
    <row r="3" customFormat="false" ht="15" hidden="false" customHeight="true" outlineLevel="0" collapsed="false">
      <c r="B3" s="2"/>
      <c r="C3" s="2"/>
    </row>
    <row r="4" customFormat="false" ht="16.5" hidden="false" customHeight="true" outlineLevel="0" collapsed="false">
      <c r="B4" s="3" t="s">
        <v>1</v>
      </c>
      <c r="C4" s="3"/>
    </row>
    <row r="5" customFormat="false" ht="15" hidden="false" customHeight="true" outlineLevel="0" collapsed="false"/>
    <row r="6" customFormat="false" ht="21.75" hidden="false" customHeight="true" outlineLevel="0" collapsed="false">
      <c r="B6" s="4" t="s">
        <v>2</v>
      </c>
      <c r="C6" s="4"/>
    </row>
    <row r="7" customFormat="false" ht="19.5" hidden="false" customHeight="true" outlineLevel="0" collapsed="false">
      <c r="B7" s="5" t="s">
        <v>3</v>
      </c>
      <c r="C7" s="6" t="s">
        <v>4</v>
      </c>
    </row>
    <row r="8" customFormat="false" ht="19.5" hidden="false" customHeight="true" outlineLevel="0" collapsed="false">
      <c r="B8" s="5" t="s">
        <v>5</v>
      </c>
      <c r="C8" s="6" t="s">
        <v>6</v>
      </c>
    </row>
    <row r="9" customFormat="false" ht="19.5" hidden="false" customHeight="true" outlineLevel="0" collapsed="false">
      <c r="B9" s="5" t="s">
        <v>7</v>
      </c>
      <c r="C9" s="6" t="s">
        <v>8</v>
      </c>
    </row>
    <row r="10" customFormat="false" ht="19.5" hidden="false" customHeight="true" outlineLevel="0" collapsed="false">
      <c r="B10" s="5" t="s">
        <v>9</v>
      </c>
      <c r="C10" s="6" t="s">
        <v>10</v>
      </c>
    </row>
    <row r="11" customFormat="false" ht="19.5" hidden="false" customHeight="true" outlineLevel="0" collapsed="false">
      <c r="B11" s="5" t="s">
        <v>11</v>
      </c>
      <c r="C11" s="7" t="n">
        <v>46207</v>
      </c>
    </row>
    <row r="12" customFormat="false" ht="19.5" hidden="false" customHeight="true" outlineLevel="0" collapsed="false">
      <c r="B12" s="5" t="s">
        <v>12</v>
      </c>
      <c r="C12" s="7" t="n">
        <v>46207</v>
      </c>
    </row>
    <row r="13" customFormat="false" ht="19.5" hidden="false" customHeight="true" outlineLevel="0" collapsed="false">
      <c r="B13" s="5" t="s">
        <v>13</v>
      </c>
      <c r="C13" s="8" t="s">
        <v>14</v>
      </c>
    </row>
    <row r="14" customFormat="false" ht="15" hidden="false" customHeight="true" outlineLevel="0" collapsed="false"/>
    <row r="15" customFormat="false" ht="21.75" hidden="false" customHeight="true" outlineLevel="0" collapsed="false">
      <c r="B15" s="9" t="s">
        <v>15</v>
      </c>
      <c r="C15" s="9"/>
    </row>
    <row r="16" customFormat="false" ht="45.75" hidden="false" customHeight="true" outlineLevel="0" collapsed="false">
      <c r="B16" s="10" t="s">
        <v>16</v>
      </c>
      <c r="C16" s="11" t="s">
        <v>17</v>
      </c>
    </row>
    <row r="17" customFormat="false" ht="45.75" hidden="false" customHeight="true" outlineLevel="0" collapsed="false">
      <c r="B17" s="10" t="s">
        <v>18</v>
      </c>
      <c r="C17" s="11" t="s">
        <v>19</v>
      </c>
    </row>
    <row r="18" customFormat="false" ht="45.75" hidden="false" customHeight="true" outlineLevel="0" collapsed="false">
      <c r="B18" s="10" t="s">
        <v>20</v>
      </c>
      <c r="C18" s="11" t="s">
        <v>21</v>
      </c>
    </row>
    <row r="19" customFormat="false" ht="45.75" hidden="false" customHeight="true" outlineLevel="0" collapsed="false">
      <c r="B19" s="10" t="s">
        <v>22</v>
      </c>
      <c r="C19" s="11" t="s">
        <v>23</v>
      </c>
    </row>
    <row r="20" customFormat="false" ht="45.75" hidden="false" customHeight="true" outlineLevel="0" collapsed="false">
      <c r="B20" s="10" t="s">
        <v>24</v>
      </c>
      <c r="C20" s="11" t="s">
        <v>25</v>
      </c>
    </row>
    <row r="21" customFormat="false" ht="45.75" hidden="false" customHeight="true" outlineLevel="0" collapsed="false">
      <c r="B21" s="10" t="s">
        <v>26</v>
      </c>
      <c r="C21" s="11" t="s">
        <v>27</v>
      </c>
    </row>
    <row r="22" customFormat="false" ht="45.75" hidden="false" customHeight="true" outlineLevel="0" collapsed="false">
      <c r="B22" s="10" t="s">
        <v>28</v>
      </c>
      <c r="C22" s="11" t="s">
        <v>29</v>
      </c>
    </row>
    <row r="23" customFormat="false" ht="45.75" hidden="false" customHeight="true" outlineLevel="0" collapsed="false">
      <c r="B23" s="10" t="s">
        <v>30</v>
      </c>
      <c r="C23" s="11" t="s">
        <v>31</v>
      </c>
    </row>
    <row r="24" customFormat="false" ht="45.75" hidden="false" customHeight="true" outlineLevel="0" collapsed="false">
      <c r="B24" s="10" t="s">
        <v>32</v>
      </c>
      <c r="C24" s="11" t="s">
        <v>33</v>
      </c>
    </row>
    <row r="25" customFormat="false" ht="45.75" hidden="false" customHeight="true" outlineLevel="0" collapsed="false">
      <c r="B25" s="10" t="s">
        <v>34</v>
      </c>
      <c r="C25" s="11" t="s">
        <v>35</v>
      </c>
    </row>
    <row r="26" customFormat="false" ht="15.75" hidden="false" customHeight="true" outlineLevel="0" collapsed="false"/>
    <row r="27" customFormat="false" ht="21.75" hidden="false" customHeight="true" outlineLevel="0" collapsed="false">
      <c r="B27" s="9" t="s">
        <v>36</v>
      </c>
      <c r="C27" s="9"/>
    </row>
    <row r="28" customFormat="false" ht="18" hidden="false" customHeight="true" outlineLevel="0" collapsed="false">
      <c r="B28" s="12" t="s">
        <v>37</v>
      </c>
      <c r="C28" s="12"/>
    </row>
    <row r="29" customFormat="false" ht="18" hidden="false" customHeight="true" outlineLevel="0" collapsed="false">
      <c r="B29" s="12" t="s">
        <v>38</v>
      </c>
      <c r="C29" s="12"/>
    </row>
    <row r="30" customFormat="false" ht="18" hidden="false" customHeight="true" outlineLevel="0" collapsed="false">
      <c r="B30" s="12" t="s">
        <v>39</v>
      </c>
      <c r="C30" s="12"/>
    </row>
    <row r="31" customFormat="false" ht="18" hidden="false" customHeight="true" outlineLevel="0" collapsed="false">
      <c r="B31" s="12" t="s">
        <v>40</v>
      </c>
      <c r="C31" s="12"/>
    </row>
    <row r="32" customFormat="false" ht="18" hidden="false" customHeight="true" outlineLevel="0" collapsed="false">
      <c r="B32" s="12" t="s">
        <v>41</v>
      </c>
      <c r="C32" s="12"/>
    </row>
    <row r="33" customFormat="false" ht="18" hidden="false" customHeight="true" outlineLevel="0" collapsed="false">
      <c r="B33" s="12" t="s">
        <v>42</v>
      </c>
      <c r="C33" s="12"/>
    </row>
    <row r="34" customFormat="false" ht="18" hidden="false" customHeight="true" outlineLevel="0" collapsed="false">
      <c r="B34" s="12" t="s">
        <v>43</v>
      </c>
      <c r="C34" s="12"/>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2">
    <mergeCell ref="B2:C3"/>
    <mergeCell ref="B4:C4"/>
    <mergeCell ref="B6:C6"/>
    <mergeCell ref="B15:C15"/>
    <mergeCell ref="B27:C27"/>
    <mergeCell ref="B28:C28"/>
    <mergeCell ref="B29:C29"/>
    <mergeCell ref="B30:C30"/>
    <mergeCell ref="B31:C31"/>
    <mergeCell ref="B32:C32"/>
    <mergeCell ref="B33:C33"/>
    <mergeCell ref="B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22.15"/>
    <col collapsed="false" customWidth="true" hidden="false" outlineLevel="0" max="3" min="3" style="1" width="20"/>
    <col collapsed="false" customWidth="true" hidden="false" outlineLevel="0" max="4" min="4" style="1" width="58.85"/>
    <col collapsed="false" customWidth="true" hidden="false" outlineLevel="0" max="5" min="5" style="1" width="9"/>
    <col collapsed="false" customWidth="true" hidden="false" outlineLevel="0" max="7" min="6" style="1" width="10"/>
    <col collapsed="false" customWidth="true" hidden="false" outlineLevel="0" max="9" min="8" style="1" width="22"/>
    <col collapsed="false" customWidth="true" hidden="false" outlineLevel="0" max="27" min="10" style="1" width="8.71"/>
  </cols>
  <sheetData>
    <row r="1" customFormat="false" ht="27.75" hidden="false" customHeight="true" outlineLevel="0" collapsed="false">
      <c r="A1" s="13" t="s">
        <v>44</v>
      </c>
      <c r="B1" s="13"/>
      <c r="C1" s="13"/>
      <c r="D1" s="13"/>
      <c r="E1" s="13"/>
      <c r="F1" s="13"/>
      <c r="G1" s="13"/>
      <c r="H1" s="13"/>
      <c r="I1" s="13"/>
    </row>
    <row r="2" customFormat="false" ht="25.5" hidden="false" customHeight="true" outlineLevel="0" collapsed="false">
      <c r="A2" s="14" t="s">
        <v>45</v>
      </c>
      <c r="B2" s="15" t="s">
        <v>46</v>
      </c>
      <c r="C2" s="15" t="s">
        <v>47</v>
      </c>
      <c r="D2" s="15" t="s">
        <v>48</v>
      </c>
      <c r="E2" s="15" t="s">
        <v>49</v>
      </c>
      <c r="F2" s="15" t="s">
        <v>50</v>
      </c>
      <c r="G2" s="15" t="s">
        <v>51</v>
      </c>
      <c r="H2" s="15" t="s">
        <v>52</v>
      </c>
      <c r="I2" s="15" t="s">
        <v>53</v>
      </c>
    </row>
    <row r="3" customFormat="false" ht="19.5" hidden="false" customHeight="true" outlineLevel="0" collapsed="false">
      <c r="A3" s="16" t="s">
        <v>54</v>
      </c>
      <c r="B3" s="16"/>
      <c r="C3" s="16"/>
      <c r="D3" s="16"/>
      <c r="E3" s="16"/>
      <c r="F3" s="16"/>
      <c r="G3" s="16"/>
      <c r="H3" s="16"/>
      <c r="I3" s="16"/>
    </row>
    <row r="4" customFormat="false" ht="30" hidden="false" customHeight="true" outlineLevel="0" collapsed="false">
      <c r="A4" s="17" t="n">
        <v>1</v>
      </c>
      <c r="B4" s="18" t="s">
        <v>55</v>
      </c>
      <c r="C4" s="19" t="s">
        <v>56</v>
      </c>
      <c r="D4" s="19" t="s">
        <v>57</v>
      </c>
      <c r="E4" s="17"/>
      <c r="F4" s="20" t="s">
        <v>58</v>
      </c>
      <c r="G4" s="18" t="s">
        <v>59</v>
      </c>
      <c r="H4" s="18"/>
      <c r="I4" s="18"/>
    </row>
    <row r="5" customFormat="false" ht="30" hidden="false" customHeight="true" outlineLevel="0" collapsed="false">
      <c r="A5" s="17" t="n">
        <v>2</v>
      </c>
      <c r="B5" s="18" t="s">
        <v>55</v>
      </c>
      <c r="C5" s="19" t="s">
        <v>60</v>
      </c>
      <c r="D5" s="19" t="s">
        <v>61</v>
      </c>
      <c r="E5" s="17"/>
      <c r="F5" s="20" t="s">
        <v>58</v>
      </c>
      <c r="G5" s="18" t="s">
        <v>59</v>
      </c>
      <c r="H5" s="18" t="s">
        <v>62</v>
      </c>
      <c r="I5" s="18" t="s">
        <v>63</v>
      </c>
    </row>
    <row r="6" customFormat="false" ht="30" hidden="false" customHeight="true" outlineLevel="0" collapsed="false">
      <c r="A6" s="17" t="n">
        <v>3</v>
      </c>
      <c r="B6" s="18" t="s">
        <v>55</v>
      </c>
      <c r="C6" s="19" t="s">
        <v>64</v>
      </c>
      <c r="D6" s="19" t="s">
        <v>65</v>
      </c>
      <c r="E6" s="17"/>
      <c r="F6" s="20" t="s">
        <v>58</v>
      </c>
      <c r="G6" s="18" t="s">
        <v>59</v>
      </c>
      <c r="H6" s="18" t="s">
        <v>66</v>
      </c>
      <c r="I6" s="18" t="s">
        <v>67</v>
      </c>
    </row>
    <row r="7" customFormat="false" ht="30" hidden="false" customHeight="true" outlineLevel="0" collapsed="false">
      <c r="A7" s="17" t="n">
        <v>4</v>
      </c>
      <c r="B7" s="18" t="s">
        <v>55</v>
      </c>
      <c r="C7" s="19" t="s">
        <v>68</v>
      </c>
      <c r="D7" s="19" t="s">
        <v>69</v>
      </c>
      <c r="E7" s="17"/>
      <c r="F7" s="20" t="s">
        <v>58</v>
      </c>
      <c r="G7" s="18" t="s">
        <v>59</v>
      </c>
      <c r="H7" s="18"/>
      <c r="I7" s="18"/>
    </row>
    <row r="8" customFormat="false" ht="19.5" hidden="false" customHeight="true" outlineLevel="0" collapsed="false">
      <c r="A8" s="16" t="s">
        <v>70</v>
      </c>
      <c r="B8" s="16"/>
      <c r="C8" s="16"/>
      <c r="D8" s="16"/>
      <c r="E8" s="16"/>
      <c r="F8" s="16"/>
      <c r="G8" s="16"/>
      <c r="H8" s="16"/>
      <c r="I8" s="16"/>
    </row>
    <row r="9" customFormat="false" ht="30" hidden="false" customHeight="true" outlineLevel="0" collapsed="false">
      <c r="A9" s="17" t="n">
        <v>5</v>
      </c>
      <c r="B9" s="18" t="s">
        <v>71</v>
      </c>
      <c r="C9" s="18" t="s">
        <v>72</v>
      </c>
      <c r="D9" s="18" t="s">
        <v>73</v>
      </c>
      <c r="E9" s="17"/>
      <c r="F9" s="20" t="s">
        <v>58</v>
      </c>
      <c r="G9" s="18" t="s">
        <v>59</v>
      </c>
      <c r="H9" s="18"/>
      <c r="I9" s="18"/>
    </row>
    <row r="10" customFormat="false" ht="30" hidden="false" customHeight="true" outlineLevel="0" collapsed="false">
      <c r="A10" s="17" t="n">
        <v>6</v>
      </c>
      <c r="B10" s="18" t="s">
        <v>71</v>
      </c>
      <c r="C10" s="18" t="s">
        <v>74</v>
      </c>
      <c r="D10" s="18" t="s">
        <v>75</v>
      </c>
      <c r="E10" s="17"/>
      <c r="F10" s="20" t="s">
        <v>58</v>
      </c>
      <c r="G10" s="18" t="s">
        <v>59</v>
      </c>
      <c r="H10" s="18"/>
      <c r="I10" s="18"/>
    </row>
    <row r="11" customFormat="false" ht="30" hidden="false" customHeight="true" outlineLevel="0" collapsed="false">
      <c r="A11" s="17" t="n">
        <v>7</v>
      </c>
      <c r="B11" s="18" t="s">
        <v>71</v>
      </c>
      <c r="C11" s="18" t="s">
        <v>76</v>
      </c>
      <c r="D11" s="18" t="s">
        <v>77</v>
      </c>
      <c r="E11" s="17"/>
      <c r="F11" s="20" t="s">
        <v>58</v>
      </c>
      <c r="G11" s="18" t="s">
        <v>59</v>
      </c>
      <c r="H11" s="18"/>
      <c r="I11" s="18"/>
    </row>
    <row r="12" customFormat="false" ht="19.5" hidden="false" customHeight="true" outlineLevel="0" collapsed="false">
      <c r="A12" s="16" t="s">
        <v>78</v>
      </c>
      <c r="B12" s="16"/>
      <c r="C12" s="16"/>
      <c r="D12" s="16"/>
      <c r="E12" s="16"/>
      <c r="F12" s="16"/>
      <c r="G12" s="16"/>
      <c r="H12" s="16"/>
      <c r="I12" s="16"/>
    </row>
    <row r="13" customFormat="false" ht="30" hidden="false" customHeight="true" outlineLevel="0" collapsed="false">
      <c r="A13" s="17" t="n">
        <v>8</v>
      </c>
      <c r="B13" s="18" t="s">
        <v>79</v>
      </c>
      <c r="C13" s="18" t="s">
        <v>80</v>
      </c>
      <c r="D13" s="18" t="s">
        <v>81</v>
      </c>
      <c r="E13" s="17"/>
      <c r="F13" s="20" t="s">
        <v>58</v>
      </c>
      <c r="G13" s="18" t="s">
        <v>59</v>
      </c>
      <c r="H13" s="18"/>
      <c r="I13" s="18"/>
    </row>
    <row r="14" customFormat="false" ht="30" hidden="false" customHeight="true" outlineLevel="0" collapsed="false">
      <c r="A14" s="17" t="n">
        <v>9</v>
      </c>
      <c r="B14" s="18" t="s">
        <v>79</v>
      </c>
      <c r="C14" s="18" t="s">
        <v>82</v>
      </c>
      <c r="D14" s="18" t="s">
        <v>83</v>
      </c>
      <c r="E14" s="17"/>
      <c r="F14" s="20" t="s">
        <v>58</v>
      </c>
      <c r="G14" s="18" t="s">
        <v>59</v>
      </c>
      <c r="H14" s="18"/>
      <c r="I14" s="18"/>
    </row>
    <row r="15" customFormat="false" ht="30" hidden="false" customHeight="true" outlineLevel="0" collapsed="false">
      <c r="A15" s="17" t="n">
        <v>10</v>
      </c>
      <c r="B15" s="18" t="s">
        <v>79</v>
      </c>
      <c r="C15" s="18" t="s">
        <v>84</v>
      </c>
      <c r="D15" s="21" t="s">
        <v>85</v>
      </c>
      <c r="E15" s="17"/>
      <c r="F15" s="20" t="s">
        <v>58</v>
      </c>
      <c r="G15" s="18" t="s">
        <v>59</v>
      </c>
      <c r="H15" s="18"/>
      <c r="I15" s="18"/>
    </row>
    <row r="16" customFormat="false" ht="19.5" hidden="false" customHeight="true" outlineLevel="0" collapsed="false">
      <c r="A16" s="16" t="s">
        <v>86</v>
      </c>
      <c r="B16" s="16"/>
      <c r="C16" s="16"/>
      <c r="D16" s="16"/>
      <c r="E16" s="16"/>
      <c r="F16" s="16"/>
      <c r="G16" s="16"/>
      <c r="H16" s="16"/>
      <c r="I16" s="16"/>
    </row>
    <row r="17" customFormat="false" ht="30" hidden="false" customHeight="true" outlineLevel="0" collapsed="false">
      <c r="A17" s="17" t="n">
        <v>11</v>
      </c>
      <c r="B17" s="18" t="s">
        <v>87</v>
      </c>
      <c r="C17" s="18" t="s">
        <v>88</v>
      </c>
      <c r="D17" s="18" t="s">
        <v>89</v>
      </c>
      <c r="E17" s="20" t="s">
        <v>90</v>
      </c>
      <c r="F17" s="20" t="s">
        <v>58</v>
      </c>
      <c r="G17" s="18" t="s">
        <v>59</v>
      </c>
      <c r="H17" s="18"/>
      <c r="I17" s="18"/>
    </row>
    <row r="18" customFormat="false" ht="30" hidden="false" customHeight="true" outlineLevel="0" collapsed="false">
      <c r="A18" s="17" t="n">
        <v>12</v>
      </c>
      <c r="B18" s="18" t="s">
        <v>87</v>
      </c>
      <c r="C18" s="18" t="s">
        <v>91</v>
      </c>
      <c r="D18" s="21" t="s">
        <v>92</v>
      </c>
      <c r="E18" s="20" t="s">
        <v>90</v>
      </c>
      <c r="F18" s="20" t="s">
        <v>58</v>
      </c>
      <c r="G18" s="18" t="s">
        <v>59</v>
      </c>
      <c r="H18" s="18"/>
      <c r="I18" s="18"/>
    </row>
    <row r="19" customFormat="false" ht="30" hidden="false" customHeight="true" outlineLevel="0" collapsed="false">
      <c r="A19" s="17" t="n">
        <v>13</v>
      </c>
      <c r="B19" s="18" t="s">
        <v>87</v>
      </c>
      <c r="C19" s="18" t="s">
        <v>93</v>
      </c>
      <c r="D19" s="18" t="s">
        <v>94</v>
      </c>
      <c r="E19" s="20" t="s">
        <v>95</v>
      </c>
      <c r="F19" s="20" t="s">
        <v>58</v>
      </c>
      <c r="G19" s="18" t="s">
        <v>59</v>
      </c>
      <c r="H19" s="18"/>
      <c r="I19" s="18"/>
    </row>
    <row r="20" customFormat="false" ht="30" hidden="false" customHeight="true" outlineLevel="0" collapsed="false">
      <c r="A20" s="17" t="n">
        <v>14</v>
      </c>
      <c r="B20" s="18" t="s">
        <v>87</v>
      </c>
      <c r="C20" s="18" t="s">
        <v>96</v>
      </c>
      <c r="D20" s="21" t="s">
        <v>97</v>
      </c>
      <c r="E20" s="20" t="s">
        <v>90</v>
      </c>
      <c r="F20" s="20" t="s">
        <v>58</v>
      </c>
      <c r="G20" s="18" t="s">
        <v>59</v>
      </c>
      <c r="H20" s="18" t="s">
        <v>98</v>
      </c>
      <c r="I20" s="18" t="s">
        <v>99</v>
      </c>
    </row>
    <row r="21" customFormat="false" ht="30" hidden="false" customHeight="true" outlineLevel="0" collapsed="false">
      <c r="A21" s="17" t="n">
        <v>15</v>
      </c>
      <c r="B21" s="18" t="s">
        <v>87</v>
      </c>
      <c r="C21" s="18" t="s">
        <v>100</v>
      </c>
      <c r="D21" s="18" t="s">
        <v>101</v>
      </c>
      <c r="E21" s="20" t="s">
        <v>90</v>
      </c>
      <c r="F21" s="20" t="s">
        <v>58</v>
      </c>
      <c r="G21" s="18" t="s">
        <v>59</v>
      </c>
      <c r="H21" s="18" t="s">
        <v>102</v>
      </c>
      <c r="I21" s="18" t="s">
        <v>103</v>
      </c>
    </row>
    <row r="22" customFormat="false" ht="30" hidden="false" customHeight="true" outlineLevel="0" collapsed="false">
      <c r="A22" s="17" t="n">
        <v>16</v>
      </c>
      <c r="B22" s="18" t="s">
        <v>87</v>
      </c>
      <c r="C22" s="18" t="s">
        <v>104</v>
      </c>
      <c r="D22" s="18" t="s">
        <v>105</v>
      </c>
      <c r="E22" s="20" t="s">
        <v>95</v>
      </c>
      <c r="F22" s="20" t="s">
        <v>58</v>
      </c>
      <c r="G22" s="18" t="s">
        <v>59</v>
      </c>
      <c r="H22" s="18"/>
      <c r="I22" s="18"/>
    </row>
    <row r="23" customFormat="false" ht="19.5" hidden="false" customHeight="true" outlineLevel="0" collapsed="false">
      <c r="A23" s="16" t="s">
        <v>106</v>
      </c>
      <c r="B23" s="16"/>
      <c r="C23" s="16"/>
      <c r="D23" s="16"/>
      <c r="E23" s="16"/>
      <c r="F23" s="16"/>
      <c r="G23" s="16"/>
      <c r="H23" s="16"/>
      <c r="I23" s="16"/>
    </row>
    <row r="24" customFormat="false" ht="30" hidden="false" customHeight="true" outlineLevel="0" collapsed="false">
      <c r="A24" s="17" t="n">
        <v>17</v>
      </c>
      <c r="B24" s="18" t="s">
        <v>107</v>
      </c>
      <c r="C24" s="18" t="s">
        <v>108</v>
      </c>
      <c r="D24" s="18" t="s">
        <v>109</v>
      </c>
      <c r="E24" s="20" t="s">
        <v>95</v>
      </c>
      <c r="F24" s="20" t="s">
        <v>58</v>
      </c>
      <c r="G24" s="18" t="s">
        <v>59</v>
      </c>
      <c r="H24" s="18"/>
      <c r="I24" s="18"/>
    </row>
    <row r="25" customFormat="false" ht="30" hidden="false" customHeight="true" outlineLevel="0" collapsed="false">
      <c r="A25" s="17" t="n">
        <v>18</v>
      </c>
      <c r="B25" s="18" t="s">
        <v>107</v>
      </c>
      <c r="C25" s="18" t="s">
        <v>110</v>
      </c>
      <c r="D25" s="18" t="s">
        <v>111</v>
      </c>
      <c r="E25" s="20" t="s">
        <v>112</v>
      </c>
      <c r="F25" s="20" t="s">
        <v>58</v>
      </c>
      <c r="G25" s="18" t="s">
        <v>59</v>
      </c>
      <c r="H25" s="18"/>
      <c r="I25" s="18" t="s">
        <v>113</v>
      </c>
    </row>
    <row r="26" customFormat="false" ht="19.5" hidden="false" customHeight="true" outlineLevel="0" collapsed="false">
      <c r="A26" s="16" t="s">
        <v>114</v>
      </c>
      <c r="B26" s="16"/>
      <c r="C26" s="16"/>
      <c r="D26" s="16"/>
      <c r="E26" s="16"/>
      <c r="F26" s="16"/>
      <c r="G26" s="16"/>
      <c r="H26" s="16"/>
      <c r="I26" s="16"/>
    </row>
    <row r="27" customFormat="false" ht="30" hidden="false" customHeight="true" outlineLevel="0" collapsed="false">
      <c r="A27" s="17" t="n">
        <v>19</v>
      </c>
      <c r="B27" s="18" t="s">
        <v>115</v>
      </c>
      <c r="C27" s="18" t="s">
        <v>116</v>
      </c>
      <c r="D27" s="18" t="s">
        <v>117</v>
      </c>
      <c r="E27" s="17"/>
      <c r="F27" s="20" t="s">
        <v>58</v>
      </c>
      <c r="G27" s="18" t="s">
        <v>59</v>
      </c>
      <c r="H27" s="18"/>
      <c r="I27" s="18"/>
    </row>
    <row r="28" customFormat="false" ht="30" hidden="false" customHeight="true" outlineLevel="0" collapsed="false">
      <c r="A28" s="17" t="n">
        <v>20</v>
      </c>
      <c r="B28" s="18" t="s">
        <v>115</v>
      </c>
      <c r="C28" s="18" t="s">
        <v>118</v>
      </c>
      <c r="D28" s="18" t="s">
        <v>119</v>
      </c>
      <c r="E28" s="17"/>
      <c r="F28" s="20" t="s">
        <v>58</v>
      </c>
      <c r="G28" s="18" t="s">
        <v>59</v>
      </c>
      <c r="H28" s="18"/>
      <c r="I28" s="18"/>
    </row>
    <row r="29" customFormat="false" ht="30" hidden="false" customHeight="true" outlineLevel="0" collapsed="false">
      <c r="A29" s="17" t="n">
        <v>21</v>
      </c>
      <c r="B29" s="18" t="s">
        <v>115</v>
      </c>
      <c r="C29" s="18" t="s">
        <v>120</v>
      </c>
      <c r="D29" s="21" t="s">
        <v>121</v>
      </c>
      <c r="E29" s="17"/>
      <c r="F29" s="20" t="s">
        <v>58</v>
      </c>
      <c r="G29" s="18" t="s">
        <v>59</v>
      </c>
      <c r="H29" s="18"/>
      <c r="I29" s="18"/>
    </row>
    <row r="30" customFormat="false" ht="30" hidden="false" customHeight="true" outlineLevel="0" collapsed="false">
      <c r="A30" s="17" t="n">
        <v>22</v>
      </c>
      <c r="B30" s="18" t="s">
        <v>115</v>
      </c>
      <c r="C30" s="18" t="s">
        <v>122</v>
      </c>
      <c r="D30" s="18" t="s">
        <v>123</v>
      </c>
      <c r="E30" s="17"/>
      <c r="F30" s="20" t="s">
        <v>58</v>
      </c>
      <c r="G30" s="18" t="s">
        <v>59</v>
      </c>
      <c r="H30" s="18"/>
      <c r="I30" s="18"/>
    </row>
    <row r="31" customFormat="false" ht="30" hidden="false" customHeight="true" outlineLevel="0" collapsed="false">
      <c r="A31" s="17" t="n">
        <v>23</v>
      </c>
      <c r="B31" s="18" t="s">
        <v>115</v>
      </c>
      <c r="C31" s="18" t="s">
        <v>124</v>
      </c>
      <c r="D31" s="18" t="s">
        <v>125</v>
      </c>
      <c r="E31" s="17"/>
      <c r="F31" s="20" t="s">
        <v>58</v>
      </c>
      <c r="G31" s="18" t="s">
        <v>59</v>
      </c>
      <c r="H31" s="18"/>
      <c r="I31" s="18"/>
    </row>
    <row r="32" customFormat="false" ht="30" hidden="false" customHeight="true" outlineLevel="0" collapsed="false">
      <c r="A32" s="17" t="n">
        <v>24</v>
      </c>
      <c r="B32" s="18" t="s">
        <v>115</v>
      </c>
      <c r="C32" s="18" t="s">
        <v>126</v>
      </c>
      <c r="D32" s="18" t="s">
        <v>127</v>
      </c>
      <c r="E32" s="17"/>
      <c r="F32" s="20" t="s">
        <v>58</v>
      </c>
      <c r="G32" s="18" t="s">
        <v>59</v>
      </c>
      <c r="H32" s="18"/>
      <c r="I32" s="18"/>
    </row>
    <row r="33" customFormat="false" ht="19.5" hidden="false" customHeight="true" outlineLevel="0" collapsed="false">
      <c r="A33" s="16" t="s">
        <v>128</v>
      </c>
      <c r="B33" s="16"/>
      <c r="C33" s="16"/>
      <c r="D33" s="16"/>
      <c r="E33" s="16"/>
      <c r="F33" s="16"/>
      <c r="G33" s="16"/>
      <c r="H33" s="16"/>
      <c r="I33" s="16"/>
    </row>
    <row r="34" customFormat="false" ht="30" hidden="false" customHeight="true" outlineLevel="0" collapsed="false">
      <c r="A34" s="17" t="n">
        <v>25</v>
      </c>
      <c r="B34" s="18" t="s">
        <v>129</v>
      </c>
      <c r="C34" s="18" t="s">
        <v>130</v>
      </c>
      <c r="D34" s="21" t="s">
        <v>131</v>
      </c>
      <c r="E34" s="17"/>
      <c r="F34" s="20" t="s">
        <v>58</v>
      </c>
      <c r="G34" s="18" t="s">
        <v>59</v>
      </c>
      <c r="H34" s="18"/>
      <c r="I34" s="18" t="s">
        <v>132</v>
      </c>
    </row>
    <row r="35" customFormat="false" ht="30" hidden="false" customHeight="true" outlineLevel="0" collapsed="false">
      <c r="A35" s="17" t="n">
        <v>26</v>
      </c>
      <c r="B35" s="18" t="s">
        <v>129</v>
      </c>
      <c r="C35" s="18" t="s">
        <v>133</v>
      </c>
      <c r="D35" s="18" t="s">
        <v>134</v>
      </c>
      <c r="E35" s="17"/>
      <c r="F35" s="20" t="s">
        <v>58</v>
      </c>
      <c r="G35" s="18" t="s">
        <v>59</v>
      </c>
      <c r="H35" s="18"/>
      <c r="I35" s="18"/>
    </row>
    <row r="36" customFormat="false" ht="30" hidden="false" customHeight="true" outlineLevel="0" collapsed="false">
      <c r="A36" s="17" t="n">
        <v>27</v>
      </c>
      <c r="B36" s="18" t="s">
        <v>129</v>
      </c>
      <c r="C36" s="18" t="s">
        <v>135</v>
      </c>
      <c r="D36" s="18" t="s">
        <v>136</v>
      </c>
      <c r="E36" s="17"/>
      <c r="F36" s="20" t="s">
        <v>58</v>
      </c>
      <c r="G36" s="18" t="s">
        <v>59</v>
      </c>
      <c r="H36" s="18"/>
      <c r="I36" s="18"/>
    </row>
    <row r="37" customFormat="false" ht="19.5" hidden="false" customHeight="true" outlineLevel="0" collapsed="false">
      <c r="A37" s="16" t="s">
        <v>137</v>
      </c>
      <c r="B37" s="16"/>
      <c r="C37" s="16"/>
      <c r="D37" s="16"/>
      <c r="E37" s="16"/>
      <c r="F37" s="16"/>
      <c r="G37" s="16"/>
      <c r="H37" s="16"/>
      <c r="I37" s="16"/>
    </row>
    <row r="38" customFormat="false" ht="30" hidden="false" customHeight="true" outlineLevel="0" collapsed="false">
      <c r="A38" s="17" t="n">
        <v>28</v>
      </c>
      <c r="B38" s="18" t="s">
        <v>138</v>
      </c>
      <c r="C38" s="18" t="s">
        <v>139</v>
      </c>
      <c r="D38" s="21" t="s">
        <v>140</v>
      </c>
      <c r="E38" s="17"/>
      <c r="F38" s="20" t="s">
        <v>58</v>
      </c>
      <c r="G38" s="18" t="s">
        <v>59</v>
      </c>
      <c r="H38" s="18"/>
      <c r="I38" s="18"/>
    </row>
    <row r="39" customFormat="false" ht="30" hidden="false" customHeight="true" outlineLevel="0" collapsed="false">
      <c r="A39" s="17" t="n">
        <v>29</v>
      </c>
      <c r="B39" s="18" t="s">
        <v>138</v>
      </c>
      <c r="C39" s="18" t="s">
        <v>141</v>
      </c>
      <c r="D39" s="18" t="s">
        <v>142</v>
      </c>
      <c r="E39" s="17"/>
      <c r="F39" s="20" t="s">
        <v>58</v>
      </c>
      <c r="G39" s="18" t="s">
        <v>59</v>
      </c>
      <c r="H39" s="18"/>
      <c r="I39" s="18"/>
    </row>
    <row r="40" customFormat="false" ht="19.5" hidden="false" customHeight="true" outlineLevel="0" collapsed="false">
      <c r="A40" s="16" t="s">
        <v>143</v>
      </c>
      <c r="B40" s="16"/>
      <c r="C40" s="16"/>
      <c r="D40" s="16"/>
      <c r="E40" s="16"/>
      <c r="F40" s="16"/>
      <c r="G40" s="16"/>
      <c r="H40" s="16"/>
      <c r="I40" s="16"/>
    </row>
    <row r="41" customFormat="false" ht="30" hidden="false" customHeight="true" outlineLevel="0" collapsed="false">
      <c r="A41" s="17" t="n">
        <v>30</v>
      </c>
      <c r="B41" s="18" t="s">
        <v>144</v>
      </c>
      <c r="C41" s="18" t="s">
        <v>145</v>
      </c>
      <c r="D41" s="18" t="s">
        <v>146</v>
      </c>
      <c r="E41" s="17"/>
      <c r="F41" s="20" t="s">
        <v>58</v>
      </c>
      <c r="G41" s="18" t="s">
        <v>59</v>
      </c>
      <c r="H41" s="18"/>
      <c r="I41" s="18"/>
    </row>
    <row r="42" customFormat="false" ht="30" hidden="false" customHeight="true" outlineLevel="0" collapsed="false">
      <c r="A42" s="17" t="n">
        <v>31</v>
      </c>
      <c r="B42" s="18" t="s">
        <v>144</v>
      </c>
      <c r="C42" s="18" t="s">
        <v>147</v>
      </c>
      <c r="D42" s="21" t="s">
        <v>148</v>
      </c>
      <c r="E42" s="17"/>
      <c r="F42" s="20" t="s">
        <v>58</v>
      </c>
      <c r="G42" s="18" t="s">
        <v>59</v>
      </c>
      <c r="H42" s="18"/>
      <c r="I42" s="18"/>
    </row>
    <row r="43" customFormat="false" ht="30" hidden="false" customHeight="true" outlineLevel="0" collapsed="false">
      <c r="A43" s="17" t="n">
        <v>32</v>
      </c>
      <c r="B43" s="18" t="s">
        <v>144</v>
      </c>
      <c r="C43" s="18" t="s">
        <v>149</v>
      </c>
      <c r="D43" s="21" t="s">
        <v>150</v>
      </c>
      <c r="E43" s="17"/>
      <c r="F43" s="20" t="s">
        <v>58</v>
      </c>
      <c r="G43" s="18" t="s">
        <v>59</v>
      </c>
      <c r="H43" s="18"/>
      <c r="I43" s="18"/>
    </row>
    <row r="44" customFormat="false" ht="30" hidden="false" customHeight="true" outlineLevel="0" collapsed="false">
      <c r="A44" s="17" t="n">
        <v>33</v>
      </c>
      <c r="B44" s="18" t="s">
        <v>144</v>
      </c>
      <c r="C44" s="18" t="s">
        <v>151</v>
      </c>
      <c r="D44" s="18" t="s">
        <v>152</v>
      </c>
      <c r="E44" s="17"/>
      <c r="F44" s="20" t="s">
        <v>58</v>
      </c>
      <c r="G44" s="18" t="s">
        <v>59</v>
      </c>
      <c r="H44" s="18"/>
      <c r="I44" s="18"/>
    </row>
    <row r="45" customFormat="false" ht="19.5" hidden="false" customHeight="true" outlineLevel="0" collapsed="false">
      <c r="A45" s="16" t="s">
        <v>153</v>
      </c>
      <c r="B45" s="16"/>
      <c r="C45" s="16"/>
      <c r="D45" s="16"/>
      <c r="E45" s="16"/>
      <c r="F45" s="16"/>
      <c r="G45" s="16"/>
      <c r="H45" s="16"/>
      <c r="I45" s="16"/>
    </row>
    <row r="46" customFormat="false" ht="30" hidden="false" customHeight="true" outlineLevel="0" collapsed="false">
      <c r="A46" s="17" t="n">
        <v>34</v>
      </c>
      <c r="B46" s="18" t="s">
        <v>154</v>
      </c>
      <c r="C46" s="18" t="s">
        <v>155</v>
      </c>
      <c r="D46" s="18" t="s">
        <v>156</v>
      </c>
      <c r="E46" s="17"/>
      <c r="F46" s="20" t="s">
        <v>58</v>
      </c>
      <c r="G46" s="18" t="s">
        <v>59</v>
      </c>
      <c r="H46" s="18"/>
      <c r="I46" s="18"/>
    </row>
    <row r="47" customFormat="false" ht="30" hidden="false" customHeight="true" outlineLevel="0" collapsed="false">
      <c r="A47" s="17" t="n">
        <v>35</v>
      </c>
      <c r="B47" s="18" t="s">
        <v>154</v>
      </c>
      <c r="C47" s="18" t="s">
        <v>157</v>
      </c>
      <c r="D47" s="18" t="s">
        <v>158</v>
      </c>
      <c r="E47" s="17"/>
      <c r="F47" s="20" t="s">
        <v>58</v>
      </c>
      <c r="G47" s="18" t="s">
        <v>59</v>
      </c>
      <c r="H47" s="18"/>
      <c r="I47" s="18"/>
    </row>
    <row r="48" customFormat="false" ht="19.5" hidden="false" customHeight="true" outlineLevel="0" collapsed="false">
      <c r="A48" s="16" t="s">
        <v>159</v>
      </c>
      <c r="B48" s="16"/>
      <c r="C48" s="16"/>
      <c r="D48" s="16"/>
      <c r="E48" s="16"/>
      <c r="F48" s="16"/>
      <c r="G48" s="16"/>
      <c r="H48" s="16"/>
      <c r="I48" s="16"/>
    </row>
    <row r="49" customFormat="false" ht="30" hidden="false" customHeight="true" outlineLevel="0" collapsed="false">
      <c r="A49" s="17" t="n">
        <v>36</v>
      </c>
      <c r="B49" s="18" t="s">
        <v>160</v>
      </c>
      <c r="C49" s="18" t="s">
        <v>161</v>
      </c>
      <c r="D49" s="18" t="s">
        <v>162</v>
      </c>
      <c r="E49" s="17"/>
      <c r="F49" s="20" t="s">
        <v>58</v>
      </c>
      <c r="G49" s="18" t="s">
        <v>59</v>
      </c>
      <c r="H49" s="18"/>
      <c r="I49" s="18"/>
    </row>
    <row r="50" customFormat="false" ht="30" hidden="false" customHeight="true" outlineLevel="0" collapsed="false">
      <c r="A50" s="17" t="n">
        <v>37</v>
      </c>
      <c r="B50" s="18" t="s">
        <v>160</v>
      </c>
      <c r="C50" s="18" t="s">
        <v>163</v>
      </c>
      <c r="D50" s="18" t="s">
        <v>164</v>
      </c>
      <c r="E50" s="17"/>
      <c r="F50" s="20" t="s">
        <v>58</v>
      </c>
      <c r="G50" s="18" t="s">
        <v>59</v>
      </c>
      <c r="H50" s="18"/>
      <c r="I50" s="18"/>
    </row>
    <row r="51" customFormat="false" ht="30" hidden="false" customHeight="true" outlineLevel="0" collapsed="false">
      <c r="A51" s="17" t="n">
        <v>38</v>
      </c>
      <c r="B51" s="18" t="s">
        <v>160</v>
      </c>
      <c r="C51" s="18" t="s">
        <v>165</v>
      </c>
      <c r="D51" s="18" t="s">
        <v>166</v>
      </c>
      <c r="E51" s="17"/>
      <c r="F51" s="20" t="s">
        <v>58</v>
      </c>
      <c r="G51" s="18" t="s">
        <v>59</v>
      </c>
      <c r="H51" s="18"/>
      <c r="I51" s="18"/>
    </row>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2">
    <mergeCell ref="A1:I1"/>
    <mergeCell ref="A3:I3"/>
    <mergeCell ref="A8:I8"/>
    <mergeCell ref="A12:I12"/>
    <mergeCell ref="A16:I16"/>
    <mergeCell ref="A23:I23"/>
    <mergeCell ref="A26:I26"/>
    <mergeCell ref="A33:I33"/>
    <mergeCell ref="A37:I37"/>
    <mergeCell ref="A40:I40"/>
    <mergeCell ref="A45:I45"/>
    <mergeCell ref="A48:I48"/>
  </mergeCells>
  <conditionalFormatting sqref="F3:F51">
    <cfRule type="cellIs" priority="2" operator="equal" aboveAverage="0" equalAverage="0" bottom="0" percent="0" rank="0" text="" dxfId="0">
      <formula>"確定"</formula>
    </cfRule>
    <cfRule type="cellIs" priority="3" operator="equal" aboveAverage="0" equalAverage="0" bottom="0" percent="0" rank="0" text="" dxfId="1">
      <formula>"未着手"</formula>
    </cfRule>
  </conditionalFormatting>
  <conditionalFormatting sqref="E3:E51">
    <cfRule type="cellIs" priority="4" operator="equal" aboveAverage="0" equalAverage="0" bottom="0" percent="0" rank="0" text="" dxfId="2">
      <formula>"必須"</formula>
    </cfRule>
  </conditionalFormatting>
  <dataValidations count="2">
    <dataValidation allowBlank="true" errorStyle="stop" operator="between" showDropDown="false" showErrorMessage="false" showInputMessage="false" sqref="F4:F7 F9:F11 F13:F15 F17:F22 F24:F25 F27:F32 F34:F36 F38:F39 F41:F44 F46:F47 F49:F51" type="list">
      <formula1>"未着手,検討中,確定,保留"</formula1>
      <formula2>0</formula2>
    </dataValidation>
    <dataValidation allowBlank="true" errorStyle="stop" operator="between" showDropDown="false" showErrorMessage="false" showInputMessage="false" sqref="E4:E7 E9:E11 E13:E15 E17:E22 E24:E25 E27:E32 E34:E36 E38:E39 E41:E44 E46:E47 E49:E51" type="list">
      <formula1>"必須,推奨,任意"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50"/>
    <col collapsed="false" customWidth="true" hidden="false" outlineLevel="0" max="6" min="5" style="1" width="10"/>
    <col collapsed="false" customWidth="true" hidden="false" outlineLevel="0" max="8" min="7" style="1" width="20"/>
    <col collapsed="false" customWidth="true" hidden="false" outlineLevel="0" max="27" min="9" style="1" width="8.71"/>
  </cols>
  <sheetData>
    <row r="1" customFormat="false" ht="27.75" hidden="false" customHeight="true" outlineLevel="0" collapsed="false">
      <c r="A1" s="13" t="s">
        <v>167</v>
      </c>
      <c r="B1" s="13"/>
      <c r="C1" s="13"/>
      <c r="D1" s="13"/>
      <c r="E1" s="13"/>
      <c r="F1" s="13"/>
      <c r="G1" s="13"/>
      <c r="H1" s="13"/>
    </row>
    <row r="2" customFormat="false" ht="25.5" hidden="false" customHeight="true" outlineLevel="0" collapsed="false">
      <c r="A2" s="14" t="s">
        <v>45</v>
      </c>
      <c r="B2" s="15" t="s">
        <v>168</v>
      </c>
      <c r="C2" s="15" t="s">
        <v>47</v>
      </c>
      <c r="D2" s="15" t="s">
        <v>169</v>
      </c>
      <c r="E2" s="15" t="s">
        <v>51</v>
      </c>
      <c r="F2" s="15" t="s">
        <v>50</v>
      </c>
      <c r="G2" s="15" t="s">
        <v>52</v>
      </c>
      <c r="H2" s="15" t="s">
        <v>53</v>
      </c>
    </row>
    <row r="3" customFormat="false" ht="19.5" hidden="false" customHeight="true" outlineLevel="0" collapsed="false">
      <c r="A3" s="16" t="s">
        <v>170</v>
      </c>
      <c r="B3" s="16"/>
      <c r="C3" s="16"/>
      <c r="D3" s="16"/>
      <c r="E3" s="16"/>
      <c r="F3" s="16"/>
      <c r="G3" s="16"/>
      <c r="H3" s="16"/>
    </row>
    <row r="4" customFormat="false" ht="30" hidden="false" customHeight="true" outlineLevel="0" collapsed="false">
      <c r="A4" s="17" t="n">
        <v>1</v>
      </c>
      <c r="B4" s="18" t="s">
        <v>171</v>
      </c>
      <c r="C4" s="18" t="s">
        <v>172</v>
      </c>
      <c r="D4" s="19" t="s">
        <v>173</v>
      </c>
      <c r="E4" s="18"/>
      <c r="F4" s="20" t="s">
        <v>58</v>
      </c>
      <c r="G4" s="18"/>
      <c r="H4" s="18"/>
    </row>
    <row r="5" customFormat="false" ht="30" hidden="false" customHeight="true" outlineLevel="0" collapsed="false">
      <c r="A5" s="17" t="n">
        <v>2</v>
      </c>
      <c r="B5" s="18" t="s">
        <v>171</v>
      </c>
      <c r="C5" s="18" t="s">
        <v>174</v>
      </c>
      <c r="D5" s="22" t="s">
        <v>175</v>
      </c>
      <c r="E5" s="18"/>
      <c r="F5" s="20" t="s">
        <v>58</v>
      </c>
      <c r="G5" s="18"/>
      <c r="H5" s="18"/>
    </row>
    <row r="6" customFormat="false" ht="30" hidden="false" customHeight="true" outlineLevel="0" collapsed="false">
      <c r="A6" s="17" t="n">
        <v>3</v>
      </c>
      <c r="B6" s="18" t="s">
        <v>171</v>
      </c>
      <c r="C6" s="18" t="s">
        <v>176</v>
      </c>
      <c r="D6" s="19" t="s">
        <v>177</v>
      </c>
      <c r="E6" s="18"/>
      <c r="F6" s="20" t="s">
        <v>58</v>
      </c>
      <c r="G6" s="18"/>
      <c r="H6" s="18"/>
    </row>
    <row r="7" customFormat="false" ht="30" hidden="false" customHeight="true" outlineLevel="0" collapsed="false">
      <c r="A7" s="17" t="n">
        <v>4</v>
      </c>
      <c r="B7" s="18" t="s">
        <v>171</v>
      </c>
      <c r="C7" s="18" t="s">
        <v>178</v>
      </c>
      <c r="D7" s="19" t="s">
        <v>179</v>
      </c>
      <c r="E7" s="18"/>
      <c r="F7" s="20" t="s">
        <v>58</v>
      </c>
      <c r="G7" s="18"/>
      <c r="H7" s="18"/>
    </row>
    <row r="8" customFormat="false" ht="19.5" hidden="false" customHeight="true" outlineLevel="0" collapsed="false">
      <c r="A8" s="16" t="s">
        <v>180</v>
      </c>
      <c r="B8" s="16"/>
      <c r="C8" s="16"/>
      <c r="D8" s="16"/>
      <c r="E8" s="16"/>
      <c r="F8" s="16"/>
      <c r="G8" s="16"/>
      <c r="H8" s="16"/>
    </row>
    <row r="9" customFormat="false" ht="30" hidden="false" customHeight="true" outlineLevel="0" collapsed="false">
      <c r="A9" s="17" t="n">
        <v>5</v>
      </c>
      <c r="B9" s="18" t="s">
        <v>181</v>
      </c>
      <c r="C9" s="18" t="s">
        <v>182</v>
      </c>
      <c r="D9" s="18" t="s">
        <v>183</v>
      </c>
      <c r="E9" s="18"/>
      <c r="F9" s="20" t="s">
        <v>58</v>
      </c>
      <c r="G9" s="18"/>
      <c r="H9" s="18"/>
    </row>
    <row r="10" customFormat="false" ht="30" hidden="false" customHeight="true" outlineLevel="0" collapsed="false">
      <c r="A10" s="17" t="n">
        <v>6</v>
      </c>
      <c r="B10" s="18" t="s">
        <v>181</v>
      </c>
      <c r="C10" s="18" t="s">
        <v>184</v>
      </c>
      <c r="D10" s="18" t="s">
        <v>185</v>
      </c>
      <c r="E10" s="18"/>
      <c r="F10" s="20" t="s">
        <v>58</v>
      </c>
      <c r="G10" s="18"/>
      <c r="H10" s="18"/>
    </row>
    <row r="11" customFormat="false" ht="19.5" hidden="false" customHeight="true" outlineLevel="0" collapsed="false">
      <c r="A11" s="16" t="s">
        <v>186</v>
      </c>
      <c r="B11" s="16"/>
      <c r="C11" s="16"/>
      <c r="D11" s="16"/>
      <c r="E11" s="16"/>
      <c r="F11" s="16"/>
      <c r="G11" s="16"/>
      <c r="H11" s="16"/>
    </row>
    <row r="12" customFormat="false" ht="30" hidden="false" customHeight="true" outlineLevel="0" collapsed="false">
      <c r="A12" s="17" t="n">
        <v>7</v>
      </c>
      <c r="B12" s="18" t="s">
        <v>187</v>
      </c>
      <c r="C12" s="18" t="s">
        <v>188</v>
      </c>
      <c r="D12" s="21" t="s">
        <v>189</v>
      </c>
      <c r="E12" s="18"/>
      <c r="F12" s="20" t="s">
        <v>58</v>
      </c>
      <c r="G12" s="18"/>
      <c r="H12" s="21" t="s">
        <v>190</v>
      </c>
    </row>
    <row r="13" customFormat="false" ht="30" hidden="false" customHeight="true" outlineLevel="0" collapsed="false">
      <c r="A13" s="17" t="n">
        <v>8</v>
      </c>
      <c r="B13" s="18" t="s">
        <v>187</v>
      </c>
      <c r="C13" s="18" t="s">
        <v>191</v>
      </c>
      <c r="D13" s="18" t="s">
        <v>192</v>
      </c>
      <c r="E13" s="18"/>
      <c r="F13" s="20" t="s">
        <v>58</v>
      </c>
      <c r="G13" s="18"/>
      <c r="H13" s="18"/>
    </row>
    <row r="14" customFormat="false" ht="30" hidden="false" customHeight="true" outlineLevel="0" collapsed="false">
      <c r="A14" s="17" t="n">
        <v>9</v>
      </c>
      <c r="B14" s="18" t="s">
        <v>187</v>
      </c>
      <c r="C14" s="18" t="s">
        <v>193</v>
      </c>
      <c r="D14" s="18" t="s">
        <v>194</v>
      </c>
      <c r="E14" s="18"/>
      <c r="F14" s="20" t="s">
        <v>58</v>
      </c>
      <c r="G14" s="18"/>
      <c r="H14" s="18"/>
    </row>
    <row r="15" customFormat="false" ht="19.5" hidden="false" customHeight="true" outlineLevel="0" collapsed="false">
      <c r="A15" s="16" t="s">
        <v>195</v>
      </c>
      <c r="B15" s="16"/>
      <c r="C15" s="16"/>
      <c r="D15" s="16"/>
      <c r="E15" s="16"/>
      <c r="F15" s="16"/>
      <c r="G15" s="16"/>
      <c r="H15" s="16"/>
    </row>
    <row r="16" customFormat="false" ht="30" hidden="false" customHeight="true" outlineLevel="0" collapsed="false">
      <c r="A16" s="17" t="n">
        <v>10</v>
      </c>
      <c r="B16" s="18" t="s">
        <v>196</v>
      </c>
      <c r="C16" s="18" t="s">
        <v>197</v>
      </c>
      <c r="D16" s="21" t="s">
        <v>140</v>
      </c>
      <c r="E16" s="18"/>
      <c r="F16" s="20" t="s">
        <v>58</v>
      </c>
      <c r="G16" s="18"/>
      <c r="H16" s="18"/>
    </row>
    <row r="17" customFormat="false" ht="30" hidden="false" customHeight="true" outlineLevel="0" collapsed="false">
      <c r="A17" s="17" t="n">
        <v>11</v>
      </c>
      <c r="B17" s="18" t="s">
        <v>196</v>
      </c>
      <c r="C17" s="18" t="s">
        <v>198</v>
      </c>
      <c r="D17" s="21" t="s">
        <v>199</v>
      </c>
      <c r="E17" s="18"/>
      <c r="F17" s="20" t="s">
        <v>58</v>
      </c>
      <c r="G17" s="18"/>
      <c r="H17" s="18" t="s">
        <v>200</v>
      </c>
    </row>
    <row r="18" customFormat="false" ht="19.5" hidden="false" customHeight="true" outlineLevel="0" collapsed="false">
      <c r="A18" s="16" t="s">
        <v>201</v>
      </c>
      <c r="B18" s="16"/>
      <c r="C18" s="16"/>
      <c r="D18" s="16"/>
      <c r="E18" s="16"/>
      <c r="F18" s="16"/>
      <c r="G18" s="16"/>
      <c r="H18" s="16"/>
    </row>
    <row r="19" customFormat="false" ht="30" hidden="false" customHeight="true" outlineLevel="0" collapsed="false">
      <c r="A19" s="17" t="n">
        <v>12</v>
      </c>
      <c r="B19" s="18" t="s">
        <v>202</v>
      </c>
      <c r="C19" s="18" t="s">
        <v>203</v>
      </c>
      <c r="D19" s="21" t="s">
        <v>204</v>
      </c>
      <c r="E19" s="18"/>
      <c r="F19" s="20" t="s">
        <v>58</v>
      </c>
      <c r="G19" s="18" t="s">
        <v>205</v>
      </c>
      <c r="H19" s="18" t="s">
        <v>206</v>
      </c>
    </row>
    <row r="20" customFormat="false" ht="30" hidden="false" customHeight="true" outlineLevel="0" collapsed="false">
      <c r="A20" s="17" t="n">
        <v>13</v>
      </c>
      <c r="B20" s="18" t="s">
        <v>202</v>
      </c>
      <c r="C20" s="18" t="s">
        <v>207</v>
      </c>
      <c r="D20" s="18" t="s">
        <v>208</v>
      </c>
      <c r="E20" s="18"/>
      <c r="F20" s="20" t="s">
        <v>58</v>
      </c>
      <c r="G20" s="18"/>
      <c r="H20" s="18" t="s">
        <v>209</v>
      </c>
    </row>
    <row r="21" customFormat="false" ht="19.5" hidden="false" customHeight="true" outlineLevel="0" collapsed="false">
      <c r="A21" s="16" t="s">
        <v>210</v>
      </c>
      <c r="B21" s="16"/>
      <c r="C21" s="16"/>
      <c r="D21" s="16"/>
      <c r="E21" s="16"/>
      <c r="F21" s="16"/>
      <c r="G21" s="16"/>
      <c r="H21" s="16"/>
    </row>
    <row r="22" customFormat="false" ht="30" hidden="false" customHeight="true" outlineLevel="0" collapsed="false">
      <c r="A22" s="17" t="n">
        <v>14</v>
      </c>
      <c r="B22" s="18" t="s">
        <v>211</v>
      </c>
      <c r="C22" s="18" t="s">
        <v>212</v>
      </c>
      <c r="D22" s="18" t="s">
        <v>213</v>
      </c>
      <c r="E22" s="18"/>
      <c r="F22" s="20" t="s">
        <v>58</v>
      </c>
      <c r="G22" s="18"/>
      <c r="H22" s="18"/>
    </row>
    <row r="23" customFormat="false" ht="30" hidden="false" customHeight="true" outlineLevel="0" collapsed="false">
      <c r="A23" s="17" t="n">
        <v>15</v>
      </c>
      <c r="B23" s="18" t="s">
        <v>211</v>
      </c>
      <c r="C23" s="18" t="s">
        <v>214</v>
      </c>
      <c r="D23" s="21" t="s">
        <v>215</v>
      </c>
      <c r="E23" s="18"/>
      <c r="F23" s="20" t="s">
        <v>58</v>
      </c>
      <c r="G23" s="18"/>
      <c r="H23" s="18"/>
    </row>
    <row r="24" customFormat="false" ht="30" hidden="false" customHeight="true" outlineLevel="0" collapsed="false">
      <c r="A24" s="17" t="n">
        <v>16</v>
      </c>
      <c r="B24" s="18" t="s">
        <v>211</v>
      </c>
      <c r="C24" s="18" t="s">
        <v>216</v>
      </c>
      <c r="D24" s="21" t="s">
        <v>217</v>
      </c>
      <c r="E24" s="18"/>
      <c r="F24" s="20" t="s">
        <v>58</v>
      </c>
      <c r="G24" s="18"/>
      <c r="H24" s="18" t="s">
        <v>218</v>
      </c>
    </row>
    <row r="25" customFormat="false" ht="19.5" hidden="false" customHeight="true" outlineLevel="0" collapsed="false">
      <c r="A25" s="16" t="s">
        <v>219</v>
      </c>
      <c r="B25" s="16"/>
      <c r="C25" s="16"/>
      <c r="D25" s="16"/>
      <c r="E25" s="16"/>
      <c r="F25" s="16"/>
      <c r="G25" s="16"/>
      <c r="H25" s="16"/>
    </row>
    <row r="26" customFormat="false" ht="30" hidden="false" customHeight="true" outlineLevel="0" collapsed="false">
      <c r="A26" s="17" t="n">
        <v>17</v>
      </c>
      <c r="B26" s="18" t="s">
        <v>220</v>
      </c>
      <c r="C26" s="18" t="s">
        <v>221</v>
      </c>
      <c r="D26" s="21" t="s">
        <v>222</v>
      </c>
      <c r="E26" s="18"/>
      <c r="F26" s="20" t="s">
        <v>58</v>
      </c>
      <c r="G26" s="18"/>
      <c r="H26" s="18"/>
    </row>
    <row r="27" customFormat="false" ht="30" hidden="false" customHeight="true" outlineLevel="0" collapsed="false">
      <c r="A27" s="17" t="n">
        <v>18</v>
      </c>
      <c r="B27" s="18" t="s">
        <v>220</v>
      </c>
      <c r="C27" s="23" t="s">
        <v>223</v>
      </c>
      <c r="D27" s="21" t="s">
        <v>224</v>
      </c>
      <c r="E27" s="23"/>
      <c r="F27" s="20" t="s">
        <v>58</v>
      </c>
      <c r="G27" s="23"/>
      <c r="H27" s="23"/>
    </row>
    <row r="28" customFormat="false" ht="30" hidden="false" customHeight="true" outlineLevel="0" collapsed="false">
      <c r="A28" s="17" t="n">
        <v>19</v>
      </c>
      <c r="B28" s="18" t="s">
        <v>220</v>
      </c>
      <c r="C28" s="18" t="s">
        <v>225</v>
      </c>
      <c r="D28" s="21" t="s">
        <v>226</v>
      </c>
      <c r="E28" s="23"/>
      <c r="F28" s="20" t="s">
        <v>58</v>
      </c>
      <c r="G28" s="23"/>
      <c r="H28" s="23"/>
    </row>
    <row r="29" customFormat="false" ht="15.75" hidden="false" customHeight="true" outlineLevel="0" collapsed="false"/>
    <row r="30" customFormat="false" ht="15.75" hidden="false" customHeight="true" outlineLevel="0" collapsed="false"/>
    <row r="31" customFormat="false" ht="21.75" hidden="false" customHeight="true" outlineLevel="0" collapsed="false">
      <c r="A31" s="24" t="s">
        <v>227</v>
      </c>
      <c r="B31" s="24"/>
      <c r="C31" s="24"/>
      <c r="D31" s="24"/>
      <c r="E31" s="24"/>
      <c r="F31" s="24"/>
    </row>
    <row r="32" customFormat="false" ht="19.5" hidden="false" customHeight="true" outlineLevel="0" collapsed="false">
      <c r="A32" s="15" t="s">
        <v>228</v>
      </c>
      <c r="B32" s="15" t="s">
        <v>229</v>
      </c>
      <c r="C32" s="15" t="s">
        <v>230</v>
      </c>
      <c r="D32" s="15" t="s">
        <v>231</v>
      </c>
      <c r="E32" s="15" t="s">
        <v>232</v>
      </c>
      <c r="F32" s="15" t="s">
        <v>53</v>
      </c>
    </row>
    <row r="33" customFormat="false" ht="25.5" hidden="false" customHeight="true" outlineLevel="0" collapsed="false">
      <c r="A33" s="17" t="s">
        <v>233</v>
      </c>
      <c r="B33" s="18" t="s">
        <v>234</v>
      </c>
      <c r="C33" s="18" t="s">
        <v>235</v>
      </c>
      <c r="D33" s="18" t="s">
        <v>236</v>
      </c>
      <c r="E33" s="23" t="s">
        <v>237</v>
      </c>
      <c r="F33" s="23"/>
    </row>
    <row r="34" customFormat="false" ht="25.5" hidden="false" customHeight="true" outlineLevel="0" collapsed="false">
      <c r="A34" s="17" t="s">
        <v>237</v>
      </c>
      <c r="B34" s="18" t="s">
        <v>238</v>
      </c>
      <c r="C34" s="18" t="s">
        <v>239</v>
      </c>
      <c r="D34" s="18" t="s">
        <v>236</v>
      </c>
      <c r="E34" s="18" t="s">
        <v>240</v>
      </c>
      <c r="F34" s="23"/>
    </row>
    <row r="35" customFormat="false" ht="25.5" hidden="false" customHeight="true" outlineLevel="0" collapsed="false">
      <c r="A35" s="17" t="s">
        <v>241</v>
      </c>
      <c r="B35" s="18" t="s">
        <v>242</v>
      </c>
      <c r="C35" s="18" t="s">
        <v>243</v>
      </c>
      <c r="D35" s="18" t="s">
        <v>244</v>
      </c>
      <c r="E35" s="23" t="s">
        <v>233</v>
      </c>
      <c r="F35" s="23"/>
    </row>
    <row r="36" customFormat="false" ht="25.5" hidden="false" customHeight="true" outlineLevel="0" collapsed="false">
      <c r="A36" s="17" t="s">
        <v>245</v>
      </c>
      <c r="B36" s="18" t="s">
        <v>246</v>
      </c>
      <c r="C36" s="18" t="s">
        <v>247</v>
      </c>
      <c r="D36" s="18" t="s">
        <v>244</v>
      </c>
      <c r="E36" s="23" t="s">
        <v>233</v>
      </c>
      <c r="F36" s="23"/>
    </row>
    <row r="37" customFormat="false" ht="25.5" hidden="false" customHeight="true" outlineLevel="0" collapsed="false">
      <c r="A37" s="17" t="s">
        <v>248</v>
      </c>
      <c r="B37" s="18" t="s">
        <v>249</v>
      </c>
      <c r="C37" s="18" t="s">
        <v>250</v>
      </c>
      <c r="D37" s="18" t="s">
        <v>244</v>
      </c>
      <c r="E37" s="23" t="s">
        <v>237</v>
      </c>
      <c r="F37" s="23"/>
    </row>
    <row r="38" customFormat="false" ht="15.75" hidden="false" customHeight="true" outlineLevel="0" collapsed="false"/>
    <row r="39" customFormat="false" ht="15.75" hidden="false" customHeight="true" outlineLevel="0" collapsed="false"/>
    <row r="40" customFormat="false" ht="21.75" hidden="false" customHeight="true" outlineLevel="0" collapsed="false">
      <c r="A40" s="24" t="s">
        <v>251</v>
      </c>
      <c r="B40" s="24"/>
      <c r="C40" s="24"/>
      <c r="D40" s="24"/>
      <c r="E40" s="24"/>
      <c r="F40" s="24"/>
    </row>
    <row r="41" customFormat="false" ht="19.5" hidden="false" customHeight="true" outlineLevel="0" collapsed="false">
      <c r="A41" s="15" t="s">
        <v>252</v>
      </c>
      <c r="B41" s="15" t="s">
        <v>253</v>
      </c>
      <c r="C41" s="15" t="s">
        <v>230</v>
      </c>
      <c r="D41" s="15" t="s">
        <v>254</v>
      </c>
      <c r="E41" s="15" t="s">
        <v>49</v>
      </c>
      <c r="F41" s="15" t="s">
        <v>53</v>
      </c>
    </row>
    <row r="42" customFormat="false" ht="25.5" hidden="false" customHeight="true" outlineLevel="0" collapsed="false">
      <c r="A42" s="17" t="s">
        <v>255</v>
      </c>
      <c r="B42" s="18" t="s">
        <v>256</v>
      </c>
      <c r="C42" s="18" t="s">
        <v>257</v>
      </c>
      <c r="D42" s="23" t="s">
        <v>233</v>
      </c>
      <c r="E42" s="18" t="s">
        <v>90</v>
      </c>
      <c r="F42" s="23"/>
    </row>
    <row r="43" customFormat="false" ht="25.5" hidden="false" customHeight="true" outlineLevel="0" collapsed="false">
      <c r="A43" s="17" t="s">
        <v>258</v>
      </c>
      <c r="B43" s="21" t="s">
        <v>259</v>
      </c>
      <c r="C43" s="18" t="s">
        <v>260</v>
      </c>
      <c r="D43" s="23" t="s">
        <v>261</v>
      </c>
      <c r="E43" s="18" t="s">
        <v>90</v>
      </c>
      <c r="F43" s="23"/>
    </row>
    <row r="44" customFormat="false" ht="25.5" hidden="false" customHeight="true" outlineLevel="0" collapsed="false">
      <c r="A44" s="17" t="s">
        <v>262</v>
      </c>
      <c r="B44" s="23" t="s">
        <v>263</v>
      </c>
      <c r="C44" s="18" t="s">
        <v>264</v>
      </c>
      <c r="D44" s="23" t="s">
        <v>241</v>
      </c>
      <c r="E44" s="18" t="s">
        <v>95</v>
      </c>
      <c r="F44" s="23"/>
    </row>
    <row r="45" customFormat="false" ht="25.5" hidden="false" customHeight="true" outlineLevel="0" collapsed="false">
      <c r="A45" s="17" t="s">
        <v>265</v>
      </c>
      <c r="B45" s="18" t="s">
        <v>266</v>
      </c>
      <c r="C45" s="18" t="s">
        <v>267</v>
      </c>
      <c r="D45" s="23" t="s">
        <v>237</v>
      </c>
      <c r="E45" s="18" t="s">
        <v>95</v>
      </c>
      <c r="F45" s="23"/>
    </row>
    <row r="46" customFormat="false" ht="25.5" hidden="false" customHeight="true" outlineLevel="0" collapsed="false">
      <c r="A46" s="17" t="s">
        <v>268</v>
      </c>
      <c r="B46" s="18" t="s">
        <v>269</v>
      </c>
      <c r="C46" s="18" t="s">
        <v>270</v>
      </c>
      <c r="D46" s="23" t="s">
        <v>245</v>
      </c>
      <c r="E46" s="18" t="s">
        <v>95</v>
      </c>
      <c r="F46" s="23"/>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0">
    <mergeCell ref="A1:H1"/>
    <mergeCell ref="A3:H3"/>
    <mergeCell ref="A8:H8"/>
    <mergeCell ref="A11:H11"/>
    <mergeCell ref="A15:H15"/>
    <mergeCell ref="A18:H18"/>
    <mergeCell ref="A21:H21"/>
    <mergeCell ref="A25:H25"/>
    <mergeCell ref="A31:F31"/>
    <mergeCell ref="A40:F40"/>
  </mergeCells>
  <conditionalFormatting sqref="F3:F28">
    <cfRule type="cellIs" priority="2" operator="equal" aboveAverage="0" equalAverage="0" bottom="0" percent="0" rank="0" text="" dxfId="0">
      <formula>"確定"</formula>
    </cfRule>
  </conditionalFormatting>
  <dataValidations count="3">
    <dataValidation allowBlank="true" errorStyle="stop" operator="between" showDropDown="false" showErrorMessage="false" showInputMessage="false" sqref="F4:F7 F9:F10 F12:F14 F16:F17 F19:F20 F22:F24 F26:F28" type="list">
      <formula1>"未着手,検討中,確定,保留"</formula1>
      <formula2>0</formula2>
    </dataValidation>
    <dataValidation allowBlank="true" errorStyle="stop" operator="between" showDropDown="false" showErrorMessage="false" showInputMessage="false" sqref="D33:D37" type="list">
      <formula1>"要,不要"</formula1>
      <formula2>0</formula2>
    </dataValidation>
    <dataValidation allowBlank="true" errorStyle="stop" operator="between" showDropDown="false" showErrorMessage="false" showInputMessage="false" sqref="E42:E46" type="list">
      <formula1>"必須,推奨,任意"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4"/>
    <col collapsed="false" customWidth="true" hidden="false" outlineLevel="0" max="2" min="2" style="1" width="8"/>
    <col collapsed="false" customWidth="true" hidden="false" outlineLevel="0" max="3" min="3" style="1" width="16"/>
    <col collapsed="false" customWidth="true" hidden="false" outlineLevel="0" max="4" min="4" style="1" width="8"/>
    <col collapsed="false" customWidth="true" hidden="false" outlineLevel="0" max="5" min="5" style="1" width="28"/>
    <col collapsed="false" customWidth="true" hidden="false" outlineLevel="0" max="7" min="6" style="1" width="22"/>
    <col collapsed="false" customWidth="true" hidden="false" outlineLevel="0" max="8" min="8" style="1" width="26"/>
    <col collapsed="false" customWidth="true" hidden="false" outlineLevel="0" max="9" min="9" style="1" width="16"/>
    <col collapsed="false" customWidth="true" hidden="false" outlineLevel="0" max="10" min="10" style="1" width="14"/>
    <col collapsed="false" customWidth="true" hidden="false" outlineLevel="0" max="26" min="11" style="1" width="8.71"/>
  </cols>
  <sheetData>
    <row r="1" customFormat="false" ht="27.75" hidden="false" customHeight="true" outlineLevel="0" collapsed="false">
      <c r="A1" s="13" t="s">
        <v>271</v>
      </c>
      <c r="B1" s="13"/>
      <c r="C1" s="13"/>
      <c r="D1" s="13"/>
      <c r="E1" s="13"/>
      <c r="F1" s="13"/>
      <c r="G1" s="13"/>
      <c r="H1" s="13"/>
      <c r="I1" s="13"/>
      <c r="J1" s="13"/>
    </row>
    <row r="2" customFormat="false" ht="15" hidden="false" customHeight="true" outlineLevel="0" collapsed="false"/>
    <row r="3" customFormat="false" ht="21.75" hidden="false" customHeight="true" outlineLevel="0" collapsed="false">
      <c r="A3" s="24" t="s">
        <v>272</v>
      </c>
      <c r="B3" s="24"/>
      <c r="C3" s="24"/>
      <c r="D3" s="24"/>
      <c r="E3" s="24"/>
      <c r="F3" s="24"/>
      <c r="G3" s="24"/>
      <c r="H3" s="24"/>
      <c r="I3" s="24"/>
      <c r="J3" s="24"/>
    </row>
    <row r="4" customFormat="false" ht="21.75" hidden="false" customHeight="true" outlineLevel="0" collapsed="false">
      <c r="A4" s="14" t="s">
        <v>45</v>
      </c>
      <c r="B4" s="14" t="s">
        <v>273</v>
      </c>
      <c r="C4" s="15" t="s">
        <v>274</v>
      </c>
      <c r="D4" s="15" t="s">
        <v>275</v>
      </c>
      <c r="E4" s="15" t="s">
        <v>276</v>
      </c>
      <c r="F4" s="15" t="s">
        <v>277</v>
      </c>
      <c r="G4" s="15" t="s">
        <v>278</v>
      </c>
      <c r="H4" s="15" t="s">
        <v>279</v>
      </c>
      <c r="I4" s="15" t="s">
        <v>280</v>
      </c>
      <c r="J4" s="15" t="s">
        <v>53</v>
      </c>
    </row>
    <row r="5" customFormat="false" ht="33.75" hidden="false" customHeight="true" outlineLevel="0" collapsed="false">
      <c r="A5" s="23" t="n">
        <v>1</v>
      </c>
      <c r="B5" s="23" t="s">
        <v>233</v>
      </c>
      <c r="C5" s="18" t="s">
        <v>281</v>
      </c>
      <c r="D5" s="18" t="s">
        <v>282</v>
      </c>
      <c r="E5" s="25" t="s">
        <v>283</v>
      </c>
      <c r="F5" s="23" t="s">
        <v>284</v>
      </c>
      <c r="G5" s="18" t="s">
        <v>285</v>
      </c>
      <c r="H5" s="25" t="s">
        <v>286</v>
      </c>
      <c r="I5" s="23" t="s">
        <v>287</v>
      </c>
      <c r="J5" s="23"/>
    </row>
    <row r="6" customFormat="false" ht="33.75" hidden="false" customHeight="true" outlineLevel="0" collapsed="false">
      <c r="A6" s="23" t="n">
        <v>2</v>
      </c>
      <c r="B6" s="23" t="s">
        <v>237</v>
      </c>
      <c r="C6" s="18" t="s">
        <v>238</v>
      </c>
      <c r="D6" s="18" t="s">
        <v>282</v>
      </c>
      <c r="E6" s="25" t="s">
        <v>288</v>
      </c>
      <c r="F6" s="23" t="s">
        <v>289</v>
      </c>
      <c r="G6" s="18" t="s">
        <v>290</v>
      </c>
      <c r="H6" s="25" t="s">
        <v>291</v>
      </c>
      <c r="I6" s="23" t="s">
        <v>287</v>
      </c>
      <c r="J6" s="23"/>
    </row>
    <row r="7" customFormat="false" ht="33.75" hidden="false" customHeight="true" outlineLevel="0" collapsed="false">
      <c r="A7" s="23" t="n">
        <v>3</v>
      </c>
      <c r="B7" s="23" t="s">
        <v>262</v>
      </c>
      <c r="C7" s="23" t="s">
        <v>263</v>
      </c>
      <c r="D7" s="18" t="s">
        <v>292</v>
      </c>
      <c r="E7" s="25" t="s">
        <v>293</v>
      </c>
      <c r="F7" s="21" t="s">
        <v>294</v>
      </c>
      <c r="G7" s="18" t="s">
        <v>295</v>
      </c>
      <c r="H7" s="25" t="s">
        <v>296</v>
      </c>
      <c r="I7" s="23" t="s">
        <v>287</v>
      </c>
      <c r="J7" s="23"/>
    </row>
    <row r="8" customFormat="false" ht="33.75" hidden="false" customHeight="true" outlineLevel="0" collapsed="false">
      <c r="A8" s="23" t="n">
        <v>4</v>
      </c>
      <c r="B8" s="23" t="s">
        <v>265</v>
      </c>
      <c r="C8" s="18" t="s">
        <v>297</v>
      </c>
      <c r="D8" s="18" t="s">
        <v>292</v>
      </c>
      <c r="E8" s="18" t="s">
        <v>298</v>
      </c>
      <c r="F8" s="23" t="s">
        <v>299</v>
      </c>
      <c r="G8" s="18" t="s">
        <v>300</v>
      </c>
      <c r="H8" s="18" t="s">
        <v>301</v>
      </c>
      <c r="I8" s="23" t="s">
        <v>287</v>
      </c>
      <c r="J8" s="23"/>
    </row>
    <row r="9" customFormat="false" ht="33.75" hidden="false" customHeight="true" outlineLevel="0" collapsed="false">
      <c r="A9" s="23" t="n">
        <v>5</v>
      </c>
      <c r="B9" s="23" t="s">
        <v>268</v>
      </c>
      <c r="C9" s="21" t="s">
        <v>302</v>
      </c>
      <c r="D9" s="18" t="s">
        <v>292</v>
      </c>
      <c r="E9" s="21" t="s">
        <v>303</v>
      </c>
      <c r="F9" s="18" t="s">
        <v>304</v>
      </c>
      <c r="G9" s="18" t="s">
        <v>305</v>
      </c>
      <c r="H9" s="18" t="s">
        <v>306</v>
      </c>
      <c r="I9" s="23" t="s">
        <v>307</v>
      </c>
      <c r="J9" s="23"/>
    </row>
    <row r="10" customFormat="false" ht="33.75" hidden="false" customHeight="true" outlineLevel="0" collapsed="false">
      <c r="A10" s="23" t="n">
        <v>6</v>
      </c>
      <c r="B10" s="23"/>
      <c r="C10" s="23"/>
      <c r="D10" s="18"/>
      <c r="E10" s="23"/>
      <c r="F10" s="23"/>
      <c r="G10" s="23"/>
      <c r="H10" s="23"/>
      <c r="I10" s="23"/>
      <c r="J10" s="23"/>
    </row>
    <row r="11" customFormat="false" ht="15" hidden="false" customHeight="true" outlineLevel="0" collapsed="false"/>
    <row r="12" customFormat="false" ht="15" hidden="false" customHeight="true" outlineLevel="0" collapsed="false"/>
    <row r="13" customFormat="false" ht="21.75" hidden="false" customHeight="true" outlineLevel="0" collapsed="false">
      <c r="A13" s="24" t="s">
        <v>308</v>
      </c>
      <c r="B13" s="24"/>
      <c r="C13" s="24"/>
      <c r="D13" s="24"/>
      <c r="E13" s="24"/>
      <c r="F13" s="24"/>
      <c r="G13" s="24"/>
      <c r="H13" s="24"/>
    </row>
    <row r="14" customFormat="false" ht="21.75" hidden="false" customHeight="true" outlineLevel="0" collapsed="false">
      <c r="A14" s="15" t="s">
        <v>309</v>
      </c>
      <c r="B14" s="15" t="s">
        <v>310</v>
      </c>
      <c r="C14" s="15" t="s">
        <v>311</v>
      </c>
      <c r="D14" s="14" t="s">
        <v>312</v>
      </c>
      <c r="E14" s="14" t="s">
        <v>313</v>
      </c>
      <c r="F14" s="14" t="s">
        <v>314</v>
      </c>
      <c r="G14" s="15" t="s">
        <v>315</v>
      </c>
      <c r="H14" s="15" t="s">
        <v>316</v>
      </c>
    </row>
    <row r="15" customFormat="false" ht="21.75" hidden="false" customHeight="true" outlineLevel="0" collapsed="false">
      <c r="A15" s="23" t="s">
        <v>287</v>
      </c>
      <c r="B15" s="23" t="s">
        <v>317</v>
      </c>
      <c r="C15" s="23" t="s">
        <v>318</v>
      </c>
      <c r="D15" s="23" t="s">
        <v>319</v>
      </c>
      <c r="E15" s="23"/>
      <c r="F15" s="23" t="s">
        <v>319</v>
      </c>
      <c r="G15" s="23"/>
      <c r="H15" s="25" t="s">
        <v>320</v>
      </c>
    </row>
    <row r="16" customFormat="false" ht="21.75" hidden="false" customHeight="true" outlineLevel="0" collapsed="false">
      <c r="A16" s="23" t="s">
        <v>287</v>
      </c>
      <c r="B16" s="23" t="s">
        <v>321</v>
      </c>
      <c r="C16" s="23" t="s">
        <v>322</v>
      </c>
      <c r="D16" s="23"/>
      <c r="E16" s="23"/>
      <c r="F16" s="23" t="s">
        <v>319</v>
      </c>
      <c r="G16" s="23"/>
      <c r="H16" s="25" t="s">
        <v>323</v>
      </c>
    </row>
    <row r="17" customFormat="false" ht="21.75" hidden="false" customHeight="true" outlineLevel="0" collapsed="false">
      <c r="A17" s="23" t="s">
        <v>287</v>
      </c>
      <c r="B17" s="23" t="s">
        <v>324</v>
      </c>
      <c r="C17" s="23" t="s">
        <v>322</v>
      </c>
      <c r="D17" s="23"/>
      <c r="E17" s="23"/>
      <c r="F17" s="23" t="s">
        <v>319</v>
      </c>
      <c r="G17" s="23"/>
      <c r="H17" s="25" t="s">
        <v>325</v>
      </c>
    </row>
    <row r="18" customFormat="false" ht="21.75" hidden="false" customHeight="true" outlineLevel="0" collapsed="false">
      <c r="A18" s="23" t="s">
        <v>287</v>
      </c>
      <c r="B18" s="23" t="s">
        <v>326</v>
      </c>
      <c r="C18" s="23" t="s">
        <v>322</v>
      </c>
      <c r="D18" s="23"/>
      <c r="E18" s="23"/>
      <c r="F18" s="23"/>
      <c r="G18" s="23"/>
      <c r="H18" s="25" t="s">
        <v>327</v>
      </c>
    </row>
    <row r="19" customFormat="false" ht="21.75" hidden="false" customHeight="true" outlineLevel="0" collapsed="false">
      <c r="A19" s="23" t="s">
        <v>287</v>
      </c>
      <c r="B19" s="23" t="s">
        <v>328</v>
      </c>
      <c r="C19" s="23" t="s">
        <v>329</v>
      </c>
      <c r="D19" s="23"/>
      <c r="E19" s="23"/>
      <c r="F19" s="23" t="s">
        <v>319</v>
      </c>
      <c r="G19" s="23"/>
      <c r="H19" s="25" t="s">
        <v>330</v>
      </c>
    </row>
    <row r="20" customFormat="false" ht="21.75" hidden="false" customHeight="true" outlineLevel="0" collapsed="false">
      <c r="A20" s="23" t="s">
        <v>287</v>
      </c>
      <c r="B20" s="23" t="s">
        <v>331</v>
      </c>
      <c r="C20" s="23" t="s">
        <v>332</v>
      </c>
      <c r="D20" s="23"/>
      <c r="E20" s="23"/>
      <c r="F20" s="23" t="s">
        <v>319</v>
      </c>
      <c r="G20" s="23" t="s">
        <v>333</v>
      </c>
      <c r="H20" s="25" t="s">
        <v>334</v>
      </c>
    </row>
    <row r="21" customFormat="false" ht="21.75" hidden="false" customHeight="true" outlineLevel="0" collapsed="false">
      <c r="A21" s="23" t="s">
        <v>287</v>
      </c>
      <c r="B21" s="23" t="s">
        <v>335</v>
      </c>
      <c r="C21" s="23" t="s">
        <v>322</v>
      </c>
      <c r="D21" s="23"/>
      <c r="E21" s="23"/>
      <c r="F21" s="23" t="s">
        <v>319</v>
      </c>
      <c r="G21" s="23"/>
      <c r="H21" s="18" t="s">
        <v>336</v>
      </c>
    </row>
    <row r="22" customFormat="false" ht="21.75" hidden="false" customHeight="true" outlineLevel="0" collapsed="false">
      <c r="A22" s="1" t="s">
        <v>287</v>
      </c>
      <c r="B22" s="1" t="s">
        <v>337</v>
      </c>
      <c r="C22" s="1" t="s">
        <v>322</v>
      </c>
      <c r="F22" s="1" t="s">
        <v>319</v>
      </c>
      <c r="H22" s="26" t="s">
        <v>338</v>
      </c>
    </row>
    <row r="23" customFormat="false" ht="15.75" hidden="false" customHeight="true" outlineLevel="0" collapsed="false">
      <c r="A23" s="1" t="s">
        <v>287</v>
      </c>
      <c r="B23" s="1" t="s">
        <v>339</v>
      </c>
      <c r="C23" s="1" t="s">
        <v>340</v>
      </c>
      <c r="F23" s="1" t="s">
        <v>319</v>
      </c>
      <c r="H23" s="26" t="s">
        <v>341</v>
      </c>
    </row>
    <row r="24" customFormat="false" ht="15.75" hidden="false" customHeight="true" outlineLevel="0" collapsed="false">
      <c r="A24" s="1" t="s">
        <v>287</v>
      </c>
      <c r="B24" s="1" t="s">
        <v>342</v>
      </c>
      <c r="C24" s="1" t="s">
        <v>340</v>
      </c>
      <c r="F24" s="1" t="s">
        <v>319</v>
      </c>
      <c r="H24" s="26" t="s">
        <v>343</v>
      </c>
    </row>
    <row r="25" customFormat="false" ht="21.75" hidden="false" customHeight="true" outlineLevel="0" collapsed="false">
      <c r="A25" s="1" t="s">
        <v>344</v>
      </c>
      <c r="B25" s="1" t="s">
        <v>345</v>
      </c>
      <c r="C25" s="1" t="s">
        <v>322</v>
      </c>
      <c r="D25" s="1" t="s">
        <v>319</v>
      </c>
      <c r="F25" s="1" t="s">
        <v>319</v>
      </c>
      <c r="H25" s="1" t="s">
        <v>346</v>
      </c>
    </row>
    <row r="26" customFormat="false" ht="21.75" hidden="false" customHeight="true" outlineLevel="0" collapsed="false">
      <c r="A26" s="1" t="s">
        <v>344</v>
      </c>
      <c r="B26" s="1" t="s">
        <v>347</v>
      </c>
      <c r="C26" s="1" t="s">
        <v>322</v>
      </c>
      <c r="F26" s="1" t="s">
        <v>319</v>
      </c>
      <c r="G26" s="1" t="s">
        <v>348</v>
      </c>
      <c r="H26" s="26" t="s">
        <v>349</v>
      </c>
    </row>
    <row r="27" customFormat="false" ht="25.5" hidden="false" customHeight="true" outlineLevel="0" collapsed="false">
      <c r="A27" s="1" t="s">
        <v>344</v>
      </c>
      <c r="B27" s="1" t="s">
        <v>350</v>
      </c>
      <c r="C27" s="27" t="s">
        <v>322</v>
      </c>
      <c r="F27" s="1" t="s">
        <v>319</v>
      </c>
      <c r="H27" s="26" t="s">
        <v>351</v>
      </c>
    </row>
    <row r="28" customFormat="false" ht="25.5" hidden="false" customHeight="true" outlineLevel="0" collapsed="false">
      <c r="A28" s="23" t="s">
        <v>352</v>
      </c>
      <c r="B28" s="23" t="s">
        <v>353</v>
      </c>
      <c r="C28" s="23" t="s">
        <v>354</v>
      </c>
      <c r="D28" s="23"/>
      <c r="E28" s="23"/>
      <c r="F28" s="23"/>
      <c r="G28" s="23"/>
      <c r="H28" s="18" t="s">
        <v>355</v>
      </c>
    </row>
    <row r="29" customFormat="false" ht="25.5" hidden="false" customHeight="true" outlineLevel="0" collapsed="false">
      <c r="A29" s="1" t="s">
        <v>356</v>
      </c>
      <c r="B29" s="1" t="s">
        <v>357</v>
      </c>
      <c r="C29" s="27" t="s">
        <v>354</v>
      </c>
      <c r="H29" s="26" t="s">
        <v>358</v>
      </c>
    </row>
    <row r="30" customFormat="false" ht="25.5" hidden="false" customHeight="true" outlineLevel="0" collapsed="false">
      <c r="A30" s="1" t="s">
        <v>359</v>
      </c>
      <c r="C30" s="27"/>
    </row>
    <row r="31" customFormat="false" ht="15.75" hidden="false" customHeight="true" outlineLevel="0" collapsed="false">
      <c r="A31" s="28" t="s">
        <v>360</v>
      </c>
      <c r="B31" s="28"/>
      <c r="C31" s="28"/>
      <c r="D31" s="28"/>
      <c r="E31" s="28"/>
      <c r="F31" s="28"/>
      <c r="G31" s="28"/>
    </row>
    <row r="32" customFormat="false" ht="15.75" hidden="false" customHeight="true" outlineLevel="0" collapsed="false">
      <c r="A32" s="14" t="s">
        <v>361</v>
      </c>
      <c r="B32" s="15" t="s">
        <v>362</v>
      </c>
      <c r="C32" s="15" t="s">
        <v>363</v>
      </c>
      <c r="D32" s="15" t="s">
        <v>364</v>
      </c>
      <c r="E32" s="15" t="s">
        <v>365</v>
      </c>
      <c r="F32" s="15" t="s">
        <v>231</v>
      </c>
      <c r="G32" s="15" t="s">
        <v>316</v>
      </c>
    </row>
    <row r="33" customFormat="false" ht="15.75" hidden="false" customHeight="true" outlineLevel="0" collapsed="false">
      <c r="A33" s="23" t="s">
        <v>366</v>
      </c>
      <c r="B33" s="23" t="s">
        <v>367</v>
      </c>
      <c r="C33" s="23" t="s">
        <v>368</v>
      </c>
      <c r="D33" s="23" t="s">
        <v>369</v>
      </c>
      <c r="E33" s="18" t="s">
        <v>370</v>
      </c>
      <c r="F33" s="18" t="s">
        <v>371</v>
      </c>
      <c r="G33" s="25" t="s">
        <v>372</v>
      </c>
    </row>
    <row r="34" customFormat="false" ht="15.75" hidden="false" customHeight="true" outlineLevel="0" collapsed="false">
      <c r="A34" s="23" t="s">
        <v>287</v>
      </c>
      <c r="B34" s="23" t="s">
        <v>373</v>
      </c>
      <c r="C34" s="23" t="s">
        <v>322</v>
      </c>
      <c r="D34" s="18" t="s">
        <v>374</v>
      </c>
      <c r="E34" s="18" t="s">
        <v>300</v>
      </c>
      <c r="F34" s="18" t="s">
        <v>375</v>
      </c>
      <c r="G34" s="25" t="s">
        <v>376</v>
      </c>
      <c r="H34" s="26" t="s">
        <v>377</v>
      </c>
    </row>
    <row r="35" customFormat="false" ht="15.75" hidden="false" customHeight="true" outlineLevel="0" collapsed="false">
      <c r="A35" s="23" t="s">
        <v>287</v>
      </c>
      <c r="B35" s="23" t="s">
        <v>378</v>
      </c>
      <c r="C35" s="18" t="s">
        <v>322</v>
      </c>
      <c r="D35" s="23" t="s">
        <v>379</v>
      </c>
      <c r="E35" s="18" t="s">
        <v>380</v>
      </c>
      <c r="F35" s="23" t="s">
        <v>354</v>
      </c>
      <c r="G35" s="18" t="s">
        <v>381</v>
      </c>
      <c r="H35" s="26" t="s">
        <v>382</v>
      </c>
    </row>
    <row r="36" customFormat="false" ht="15.75" hidden="false" customHeight="true" outlineLevel="0" collapsed="false">
      <c r="A36" s="23" t="s">
        <v>383</v>
      </c>
      <c r="B36" s="23" t="s">
        <v>384</v>
      </c>
      <c r="C36" s="23" t="s">
        <v>354</v>
      </c>
      <c r="D36" s="23"/>
      <c r="E36" s="23"/>
      <c r="F36" s="23"/>
      <c r="G36" s="23"/>
      <c r="H36" s="26" t="s">
        <v>385</v>
      </c>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J1"/>
    <mergeCell ref="A3:J3"/>
    <mergeCell ref="A13:H13"/>
    <mergeCell ref="A31:G31"/>
  </mergeCells>
  <dataValidations count="3">
    <dataValidation allowBlank="true" errorStyle="stop" operator="between" showDropDown="false" showErrorMessage="false" showInputMessage="false" sqref="C27:C30" type="list">
      <formula1>"GET,POST,PUT,DELETE,PATCH"</formula1>
      <formula2>0</formula2>
    </dataValidation>
    <dataValidation allowBlank="true" errorStyle="stop" operator="between" showDropDown="false" showErrorMessage="false" showInputMessage="false" sqref="D15:D22 F15:F22" type="list">
      <formula1>"○"</formula1>
      <formula2>0</formula2>
    </dataValidation>
    <dataValidation allowBlank="true" errorStyle="stop" operator="between" showDropDown="false" showErrorMessage="false" showInputMessage="false" sqref="D5:D10" type="list">
      <formula1>"画面,API,バッチ,共通処理"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2" min="1" style="1" width="32"/>
    <col collapsed="false" customWidth="true" hidden="false" outlineLevel="0" max="3" min="3" style="1" width="20"/>
    <col collapsed="false" customWidth="true" hidden="false" outlineLevel="0" max="4" min="4" style="1" width="22"/>
    <col collapsed="false" customWidth="true" hidden="false" outlineLevel="0" max="5" min="5" style="1" width="28"/>
    <col collapsed="false" customWidth="true" hidden="false" outlineLevel="0" max="6" min="6" style="1" width="24"/>
    <col collapsed="false" customWidth="true" hidden="false" outlineLevel="0" max="7" min="7" style="1" width="20"/>
    <col collapsed="false" customWidth="true" hidden="false" outlineLevel="0" max="8" min="8" style="1" width="8"/>
    <col collapsed="false" customWidth="true" hidden="false" outlineLevel="0" max="9" min="9" style="1" width="11"/>
    <col collapsed="false" customWidth="true" hidden="false" outlineLevel="0" max="10" min="10" style="1" width="8"/>
    <col collapsed="false" customWidth="true" hidden="false" outlineLevel="0" max="11" min="11" style="1" width="14"/>
    <col collapsed="false" customWidth="true" hidden="false" outlineLevel="0" max="26" min="12" style="1" width="8.71"/>
  </cols>
  <sheetData>
    <row r="1" customFormat="false" ht="27.75" hidden="false" customHeight="true" outlineLevel="0" collapsed="false">
      <c r="A1" s="13" t="s">
        <v>386</v>
      </c>
      <c r="B1" s="13"/>
      <c r="C1" s="13"/>
      <c r="D1" s="13"/>
      <c r="E1" s="13"/>
      <c r="F1" s="13"/>
      <c r="G1" s="13"/>
      <c r="H1" s="13"/>
      <c r="I1" s="13"/>
      <c r="J1" s="13"/>
      <c r="K1" s="13"/>
    </row>
    <row r="2" customFormat="false" ht="13.5" hidden="false" customHeight="true" outlineLevel="0" collapsed="false">
      <c r="A2" s="29" t="s">
        <v>387</v>
      </c>
      <c r="B2" s="29"/>
      <c r="C2" s="29"/>
      <c r="D2" s="29"/>
      <c r="E2" s="29"/>
      <c r="F2" s="29"/>
      <c r="G2" s="29"/>
      <c r="H2" s="29"/>
      <c r="I2" s="29"/>
      <c r="J2" s="29"/>
      <c r="K2" s="29"/>
    </row>
    <row r="3" customFormat="false" ht="15" hidden="false" customHeight="true" outlineLevel="0" collapsed="false"/>
    <row r="4" customFormat="false" ht="21.75" hidden="false" customHeight="true" outlineLevel="0" collapsed="false">
      <c r="A4" s="24" t="s">
        <v>388</v>
      </c>
      <c r="B4" s="24"/>
      <c r="C4" s="24"/>
      <c r="D4" s="24"/>
      <c r="E4" s="24"/>
    </row>
    <row r="5" customFormat="false" ht="19.5" hidden="false" customHeight="true" outlineLevel="0" collapsed="false">
      <c r="A5" s="15" t="s">
        <v>389</v>
      </c>
      <c r="B5" s="15" t="s">
        <v>390</v>
      </c>
      <c r="C5" s="15" t="s">
        <v>391</v>
      </c>
      <c r="D5" s="15" t="s">
        <v>392</v>
      </c>
      <c r="E5" s="15" t="s">
        <v>50</v>
      </c>
    </row>
    <row r="6" customFormat="false" ht="30" hidden="false" customHeight="true" outlineLevel="0" collapsed="false">
      <c r="A6" s="30" t="s">
        <v>393</v>
      </c>
      <c r="B6" s="18" t="s">
        <v>394</v>
      </c>
      <c r="C6" s="18" t="s">
        <v>395</v>
      </c>
      <c r="D6" s="18" t="s">
        <v>396</v>
      </c>
      <c r="E6" s="18" t="s">
        <v>397</v>
      </c>
    </row>
    <row r="7" customFormat="false" ht="30" hidden="false" customHeight="true" outlineLevel="0" collapsed="false">
      <c r="A7" s="30" t="s">
        <v>398</v>
      </c>
      <c r="B7" s="18" t="s">
        <v>399</v>
      </c>
      <c r="C7" s="18" t="s">
        <v>400</v>
      </c>
      <c r="D7" s="18" t="s">
        <v>59</v>
      </c>
      <c r="E7" s="18" t="s">
        <v>397</v>
      </c>
    </row>
    <row r="8" customFormat="false" ht="30" hidden="false" customHeight="true" outlineLevel="0" collapsed="false">
      <c r="A8" s="31" t="s">
        <v>401</v>
      </c>
      <c r="B8" s="18" t="s">
        <v>402</v>
      </c>
      <c r="C8" s="18" t="s">
        <v>403</v>
      </c>
      <c r="D8" s="18" t="s">
        <v>59</v>
      </c>
      <c r="E8" s="18" t="s">
        <v>397</v>
      </c>
    </row>
    <row r="9" customFormat="false" ht="30" hidden="false" customHeight="true" outlineLevel="0" collapsed="false">
      <c r="A9" s="30" t="s">
        <v>404</v>
      </c>
      <c r="B9" s="18" t="s">
        <v>405</v>
      </c>
      <c r="C9" s="18" t="s">
        <v>403</v>
      </c>
      <c r="D9" s="18" t="s">
        <v>59</v>
      </c>
      <c r="E9" s="18" t="s">
        <v>397</v>
      </c>
    </row>
    <row r="10" customFormat="false" ht="30" hidden="false" customHeight="true" outlineLevel="0" collapsed="false">
      <c r="A10" s="30" t="s">
        <v>406</v>
      </c>
      <c r="B10" s="18" t="s">
        <v>407</v>
      </c>
      <c r="C10" s="18" t="s">
        <v>403</v>
      </c>
      <c r="D10" s="18" t="s">
        <v>59</v>
      </c>
      <c r="E10" s="18" t="s">
        <v>397</v>
      </c>
    </row>
    <row r="11" customFormat="false" ht="30" hidden="false" customHeight="true" outlineLevel="0" collapsed="false">
      <c r="A11" s="30" t="s">
        <v>408</v>
      </c>
      <c r="B11" s="18" t="s">
        <v>409</v>
      </c>
      <c r="C11" s="18" t="s">
        <v>410</v>
      </c>
      <c r="D11" s="18" t="s">
        <v>59</v>
      </c>
      <c r="E11" s="18" t="s">
        <v>397</v>
      </c>
    </row>
    <row r="12" customFormat="false" ht="15" hidden="false" customHeight="true" outlineLevel="0" collapsed="false"/>
    <row r="13" customFormat="false" ht="15" hidden="false" customHeight="true" outlineLevel="0" collapsed="false"/>
    <row r="14" customFormat="false" ht="21.75" hidden="false" customHeight="true" outlineLevel="0" collapsed="false">
      <c r="A14" s="24" t="s">
        <v>411</v>
      </c>
      <c r="B14" s="24"/>
      <c r="C14" s="24"/>
      <c r="D14" s="24"/>
      <c r="E14" s="24"/>
      <c r="F14" s="24"/>
      <c r="G14" s="24"/>
      <c r="H14" s="24"/>
      <c r="I14" s="24"/>
      <c r="J14" s="24"/>
      <c r="K14" s="24"/>
    </row>
    <row r="15" customFormat="false" ht="30" hidden="false" customHeight="true" outlineLevel="0" collapsed="false">
      <c r="A15" s="14" t="s">
        <v>45</v>
      </c>
      <c r="B15" s="15" t="s">
        <v>412</v>
      </c>
      <c r="C15" s="15" t="s">
        <v>413</v>
      </c>
      <c r="D15" s="15" t="s">
        <v>154</v>
      </c>
      <c r="E15" s="15" t="s">
        <v>414</v>
      </c>
      <c r="F15" s="15" t="s">
        <v>415</v>
      </c>
      <c r="G15" s="15" t="s">
        <v>416</v>
      </c>
      <c r="H15" s="15" t="s">
        <v>417</v>
      </c>
      <c r="I15" s="15" t="s">
        <v>418</v>
      </c>
      <c r="J15" s="15" t="s">
        <v>51</v>
      </c>
      <c r="K15" s="15" t="s">
        <v>53</v>
      </c>
    </row>
    <row r="16" customFormat="false" ht="37.5" hidden="false" customHeight="true" outlineLevel="0" collapsed="false">
      <c r="A16" s="17" t="n">
        <v>1</v>
      </c>
      <c r="B16" s="23" t="s">
        <v>233</v>
      </c>
      <c r="C16" s="25" t="s">
        <v>419</v>
      </c>
      <c r="D16" s="25" t="s">
        <v>420</v>
      </c>
      <c r="E16" s="25" t="s">
        <v>421</v>
      </c>
      <c r="F16" s="25" t="s">
        <v>422</v>
      </c>
      <c r="G16" s="23"/>
      <c r="H16" s="23"/>
      <c r="I16" s="23"/>
      <c r="J16" s="23"/>
      <c r="K16" s="23"/>
    </row>
    <row r="17" customFormat="false" ht="37.5" hidden="false" customHeight="true" outlineLevel="0" collapsed="false">
      <c r="A17" s="17" t="n">
        <v>2</v>
      </c>
      <c r="B17" s="23" t="s">
        <v>233</v>
      </c>
      <c r="C17" s="25" t="s">
        <v>423</v>
      </c>
      <c r="D17" s="25" t="s">
        <v>424</v>
      </c>
      <c r="E17" s="25" t="s">
        <v>425</v>
      </c>
      <c r="F17" s="25" t="s">
        <v>426</v>
      </c>
      <c r="G17" s="23"/>
      <c r="H17" s="23"/>
      <c r="I17" s="23"/>
      <c r="J17" s="23"/>
      <c r="K17" s="23"/>
    </row>
    <row r="18" customFormat="false" ht="37.5" hidden="false" customHeight="true" outlineLevel="0" collapsed="false">
      <c r="A18" s="17" t="n">
        <v>3</v>
      </c>
      <c r="B18" s="23" t="s">
        <v>237</v>
      </c>
      <c r="C18" s="25" t="s">
        <v>427</v>
      </c>
      <c r="D18" s="25" t="s">
        <v>428</v>
      </c>
      <c r="E18" s="25" t="s">
        <v>429</v>
      </c>
      <c r="F18" s="25" t="s">
        <v>430</v>
      </c>
      <c r="G18" s="23"/>
      <c r="H18" s="23"/>
      <c r="I18" s="23"/>
      <c r="J18" s="23"/>
      <c r="K18" s="23"/>
    </row>
    <row r="19" customFormat="false" ht="37.5" hidden="false" customHeight="true" outlineLevel="0" collapsed="false">
      <c r="A19" s="17" t="n">
        <v>4</v>
      </c>
      <c r="B19" s="23" t="s">
        <v>241</v>
      </c>
      <c r="C19" s="25" t="s">
        <v>431</v>
      </c>
      <c r="D19" s="25" t="s">
        <v>432</v>
      </c>
      <c r="E19" s="32" t="s">
        <v>433</v>
      </c>
      <c r="F19" s="25" t="s">
        <v>434</v>
      </c>
      <c r="G19" s="23"/>
      <c r="H19" s="23"/>
      <c r="I19" s="23"/>
      <c r="J19" s="23"/>
      <c r="K19" s="23"/>
    </row>
    <row r="20" customFormat="false" ht="37.5" hidden="false" customHeight="true" outlineLevel="0" collapsed="false">
      <c r="A20" s="17" t="n">
        <v>5</v>
      </c>
      <c r="B20" s="23" t="s">
        <v>241</v>
      </c>
      <c r="C20" s="25" t="s">
        <v>435</v>
      </c>
      <c r="D20" s="25" t="s">
        <v>436</v>
      </c>
      <c r="E20" s="25" t="s">
        <v>437</v>
      </c>
      <c r="F20" s="25" t="s">
        <v>438</v>
      </c>
      <c r="G20" s="23"/>
      <c r="H20" s="23"/>
      <c r="I20" s="23"/>
      <c r="J20" s="23"/>
      <c r="K20" s="23"/>
    </row>
    <row r="21" customFormat="false" ht="37.5" hidden="false" customHeight="true" outlineLevel="0" collapsed="false">
      <c r="A21" s="17" t="n">
        <v>6</v>
      </c>
      <c r="B21" s="23" t="s">
        <v>262</v>
      </c>
      <c r="C21" s="25" t="s">
        <v>439</v>
      </c>
      <c r="D21" s="25" t="s">
        <v>440</v>
      </c>
      <c r="E21" s="25" t="s">
        <v>441</v>
      </c>
      <c r="F21" s="25" t="s">
        <v>442</v>
      </c>
      <c r="G21" s="23"/>
      <c r="H21" s="23"/>
      <c r="I21" s="23"/>
      <c r="J21" s="23"/>
      <c r="K21" s="23"/>
    </row>
    <row r="22" customFormat="false" ht="37.5" hidden="false" customHeight="true" outlineLevel="0" collapsed="false">
      <c r="A22" s="17" t="n">
        <v>7</v>
      </c>
      <c r="B22" s="23" t="s">
        <v>248</v>
      </c>
      <c r="C22" s="18" t="s">
        <v>443</v>
      </c>
      <c r="D22" s="18" t="s">
        <v>444</v>
      </c>
      <c r="E22" s="18" t="s">
        <v>445</v>
      </c>
      <c r="F22" s="18" t="s">
        <v>446</v>
      </c>
      <c r="G22" s="23"/>
      <c r="H22" s="23"/>
      <c r="I22" s="23"/>
      <c r="J22" s="23"/>
      <c r="K22" s="23"/>
    </row>
    <row r="23" customFormat="false" ht="37.5" hidden="false" customHeight="true" outlineLevel="0" collapsed="false">
      <c r="A23" s="17" t="n">
        <v>8</v>
      </c>
      <c r="B23" s="23" t="s">
        <v>245</v>
      </c>
      <c r="C23" s="18" t="s">
        <v>447</v>
      </c>
      <c r="D23" s="18" t="s">
        <v>448</v>
      </c>
      <c r="E23" s="18" t="s">
        <v>449</v>
      </c>
      <c r="F23" s="18" t="s">
        <v>450</v>
      </c>
      <c r="G23" s="23"/>
      <c r="H23" s="23"/>
      <c r="I23" s="23"/>
      <c r="J23" s="23"/>
      <c r="K23" s="23"/>
    </row>
    <row r="24" customFormat="false" ht="37.5" hidden="false" customHeight="true" outlineLevel="0" collapsed="false">
      <c r="A24" s="17" t="n">
        <v>9</v>
      </c>
      <c r="B24" s="23" t="s">
        <v>451</v>
      </c>
      <c r="C24" s="18" t="s">
        <v>452</v>
      </c>
      <c r="D24" s="23" t="s">
        <v>453</v>
      </c>
      <c r="E24" s="18" t="s">
        <v>454</v>
      </c>
      <c r="F24" s="18" t="s">
        <v>455</v>
      </c>
      <c r="G24" s="23"/>
      <c r="H24" s="23"/>
      <c r="I24" s="23"/>
      <c r="J24" s="23"/>
      <c r="K24" s="23"/>
    </row>
    <row r="25" customFormat="false" ht="37.5" hidden="false" customHeight="true" outlineLevel="0" collapsed="false">
      <c r="A25" s="17" t="n">
        <v>10</v>
      </c>
      <c r="B25" s="23"/>
      <c r="C25" s="23"/>
      <c r="D25" s="23"/>
      <c r="E25" s="23"/>
      <c r="F25" s="23"/>
      <c r="G25" s="23"/>
      <c r="H25" s="23"/>
      <c r="I25" s="23"/>
      <c r="J25" s="23"/>
      <c r="K25" s="23"/>
    </row>
    <row r="26" customFormat="false" ht="15.75" hidden="false" customHeight="true" outlineLevel="0" collapsed="false"/>
    <row r="27" customFormat="false" ht="15.75" hidden="false" customHeight="true" outlineLevel="0" collapsed="false"/>
    <row r="28" customFormat="false" ht="21.75" hidden="false" customHeight="true" outlineLevel="0" collapsed="false">
      <c r="A28" s="24" t="s">
        <v>456</v>
      </c>
      <c r="B28" s="24"/>
      <c r="C28" s="24"/>
      <c r="D28" s="24"/>
      <c r="E28" s="24"/>
      <c r="F28" s="24"/>
      <c r="G28" s="24"/>
      <c r="H28" s="24"/>
      <c r="I28" s="24"/>
      <c r="J28" s="24"/>
      <c r="K28" s="24"/>
    </row>
    <row r="29" customFormat="false" ht="30" hidden="false" customHeight="true" outlineLevel="0" collapsed="false">
      <c r="A29" s="15" t="s">
        <v>457</v>
      </c>
      <c r="B29" s="15" t="s">
        <v>458</v>
      </c>
      <c r="C29" s="15" t="s">
        <v>459</v>
      </c>
      <c r="D29" s="15" t="s">
        <v>460</v>
      </c>
      <c r="E29" s="15" t="s">
        <v>461</v>
      </c>
      <c r="F29" s="15" t="s">
        <v>462</v>
      </c>
      <c r="G29" s="15" t="s">
        <v>463</v>
      </c>
      <c r="H29" s="15" t="s">
        <v>51</v>
      </c>
      <c r="I29" s="15" t="s">
        <v>464</v>
      </c>
      <c r="J29" s="15" t="s">
        <v>465</v>
      </c>
      <c r="K29" s="15" t="s">
        <v>53</v>
      </c>
    </row>
    <row r="30" customFormat="false" ht="30" hidden="false" customHeight="true" outlineLevel="0" collapsed="false">
      <c r="A30" s="17" t="s">
        <v>466</v>
      </c>
      <c r="B30" s="23"/>
      <c r="C30" s="18" t="s">
        <v>398</v>
      </c>
      <c r="D30" s="25" t="s">
        <v>467</v>
      </c>
      <c r="E30" s="18" t="s">
        <v>468</v>
      </c>
      <c r="F30" s="25" t="s">
        <v>469</v>
      </c>
      <c r="G30" s="18" t="s">
        <v>470</v>
      </c>
      <c r="H30" s="18" t="s">
        <v>59</v>
      </c>
      <c r="I30" s="23"/>
      <c r="J30" s="23"/>
      <c r="K30" s="23"/>
    </row>
    <row r="31" customFormat="false" ht="30" hidden="false" customHeight="true" outlineLevel="0" collapsed="false">
      <c r="A31" s="17" t="s">
        <v>471</v>
      </c>
      <c r="B31" s="23"/>
      <c r="C31" s="23"/>
      <c r="D31" s="23"/>
      <c r="E31" s="18"/>
      <c r="F31" s="23"/>
      <c r="G31" s="18" t="s">
        <v>470</v>
      </c>
      <c r="H31" s="23"/>
      <c r="I31" s="23"/>
      <c r="J31" s="23"/>
      <c r="K31" s="23"/>
    </row>
    <row r="32" customFormat="false" ht="30" hidden="false" customHeight="true" outlineLevel="0" collapsed="false">
      <c r="A32" s="17" t="s">
        <v>472</v>
      </c>
      <c r="B32" s="23"/>
      <c r="C32" s="23"/>
      <c r="D32" s="23"/>
      <c r="E32" s="18"/>
      <c r="F32" s="23"/>
      <c r="G32" s="18" t="s">
        <v>470</v>
      </c>
      <c r="H32" s="23"/>
      <c r="I32" s="23"/>
      <c r="J32" s="23"/>
      <c r="K32" s="23"/>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1:K1"/>
    <mergeCell ref="A2:K2"/>
    <mergeCell ref="A4:E4"/>
    <mergeCell ref="A14:K14"/>
    <mergeCell ref="A28:K28"/>
  </mergeCells>
  <conditionalFormatting sqref="H16:H25">
    <cfRule type="cellIs" priority="2" operator="equal" aboveAverage="0" equalAverage="0" bottom="0" percent="0" rank="0" text="" dxfId="0">
      <formula>"OK"</formula>
    </cfRule>
    <cfRule type="cellIs" priority="3" operator="equal" aboveAverage="0" equalAverage="0" bottom="0" percent="0" rank="0" text="" dxfId="2">
      <formula>"NG"</formula>
    </cfRule>
  </conditionalFormatting>
  <conditionalFormatting sqref="E30:E32">
    <cfRule type="cellIs" priority="4" operator="equal" aboveAverage="0" equalAverage="0" bottom="0" percent="0" rank="0" text="" dxfId="2">
      <formula>"致命的"</formula>
    </cfRule>
  </conditionalFormatting>
  <conditionalFormatting sqref="G30:G32">
    <cfRule type="cellIs" priority="5" operator="equal" aboveAverage="0" equalAverage="0" bottom="0" percent="0" rank="0" text="" dxfId="0">
      <formula>"完了"</formula>
    </cfRule>
    <cfRule type="cellIs" priority="6" operator="equal" aboveAverage="0" equalAverage="0" bottom="0" percent="0" rank="0" text="" dxfId="2">
      <formula>"未対応"</formula>
    </cfRule>
  </conditionalFormatting>
  <dataValidations count="5">
    <dataValidation allowBlank="true" errorStyle="stop" operator="between" showDropDown="false" showErrorMessage="false" showInputMessage="false" sqref="E6:E11" type="list">
      <formula1>"未着手,進行中,完了"</formula1>
      <formula2>0</formula2>
    </dataValidation>
    <dataValidation allowBlank="true" errorStyle="stop" operator="between" showDropDown="false" showErrorMessage="false" showInputMessage="false" sqref="E30:E32" type="list">
      <formula1>"致命的,高,中,低"</formula1>
      <formula2>0</formula2>
    </dataValidation>
    <dataValidation allowBlank="true" errorStyle="stop" operator="between" showDropDown="false" showErrorMessage="false" showInputMessage="false" sqref="J16:J25" type="list">
      <formula1>"自分,AI,外部委託"</formula1>
      <formula2>0</formula2>
    </dataValidation>
    <dataValidation allowBlank="true" errorStyle="stop" operator="between" showDropDown="false" showErrorMessage="false" showInputMessage="false" sqref="H16:H25" type="list">
      <formula1>"OK,NG,未実施"</formula1>
      <formula2>0</formula2>
    </dataValidation>
    <dataValidation allowBlank="true" errorStyle="stop" operator="between" showDropDown="false" showErrorMessage="false" showInputMessage="false" sqref="G30:G32" type="list">
      <formula1>"未対応,対応中,修正済み,再テスト待ち,完了"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52"/>
    <col collapsed="false" customWidth="true" hidden="false" outlineLevel="0" max="3" min="3" style="1" width="8"/>
    <col collapsed="false" customWidth="true" hidden="false" outlineLevel="0" max="4" min="4" style="1" width="10"/>
    <col collapsed="false" customWidth="true" hidden="false" outlineLevel="0" max="5" min="5" style="1" width="11"/>
    <col collapsed="false" customWidth="true" hidden="false" outlineLevel="0" max="6" min="6" style="1" width="8"/>
    <col collapsed="false" customWidth="true" hidden="false" outlineLevel="0" max="7" min="7" style="1" width="18"/>
    <col collapsed="false" customWidth="true" hidden="false" outlineLevel="0" max="26" min="8" style="1" width="8.71"/>
  </cols>
  <sheetData>
    <row r="1" customFormat="false" ht="27.75" hidden="false" customHeight="true" outlineLevel="0" collapsed="false">
      <c r="A1" s="13" t="s">
        <v>473</v>
      </c>
      <c r="B1" s="13"/>
      <c r="C1" s="13"/>
      <c r="D1" s="13"/>
      <c r="E1" s="13"/>
      <c r="F1" s="13"/>
      <c r="G1" s="13"/>
    </row>
    <row r="2" customFormat="false" ht="27.75" hidden="false" customHeight="true" outlineLevel="0" collapsed="false">
      <c r="A2" s="29" t="s">
        <v>474</v>
      </c>
      <c r="B2" s="29"/>
      <c r="C2" s="29"/>
      <c r="D2" s="29"/>
      <c r="F2" s="33" t="s">
        <v>475</v>
      </c>
      <c r="G2" s="34" t="str">
        <f aca="false">COUNTIF(D5:D48,"対応済み")&amp;" / 36 件"</f>
        <v>0 / 36 件</v>
      </c>
    </row>
    <row r="3" customFormat="false" ht="15" hidden="false" customHeight="true" outlineLevel="0" collapsed="false">
      <c r="F3" s="33" t="s">
        <v>476</v>
      </c>
      <c r="G3" s="35" t="n">
        <f aca="false">COUNTIF(D5:D48,"対応済み")/36</f>
        <v>0</v>
      </c>
    </row>
    <row r="4" customFormat="false" ht="25.5" hidden="false" customHeight="true" outlineLevel="0" collapsed="false">
      <c r="A4" s="15" t="s">
        <v>168</v>
      </c>
      <c r="B4" s="15" t="s">
        <v>477</v>
      </c>
      <c r="C4" s="15" t="s">
        <v>461</v>
      </c>
      <c r="D4" s="15" t="s">
        <v>463</v>
      </c>
      <c r="E4" s="15" t="s">
        <v>478</v>
      </c>
      <c r="F4" s="15" t="s">
        <v>51</v>
      </c>
      <c r="G4" s="15" t="s">
        <v>53</v>
      </c>
    </row>
    <row r="5" customFormat="false" ht="19.5" hidden="false" customHeight="true" outlineLevel="0" collapsed="false">
      <c r="A5" s="16" t="s">
        <v>479</v>
      </c>
      <c r="B5" s="16"/>
      <c r="C5" s="16"/>
      <c r="D5" s="16"/>
      <c r="E5" s="16"/>
      <c r="F5" s="16"/>
      <c r="G5" s="16"/>
    </row>
    <row r="6" customFormat="false" ht="31.5" hidden="false" customHeight="true" outlineLevel="0" collapsed="false">
      <c r="A6" s="18" t="s">
        <v>480</v>
      </c>
      <c r="B6" s="18" t="s">
        <v>481</v>
      </c>
      <c r="C6" s="20" t="s">
        <v>90</v>
      </c>
      <c r="D6" s="20" t="s">
        <v>470</v>
      </c>
      <c r="E6" s="17"/>
      <c r="F6" s="17"/>
      <c r="G6" s="23"/>
    </row>
    <row r="7" customFormat="false" ht="31.5" hidden="false" customHeight="true" outlineLevel="0" collapsed="false">
      <c r="A7" s="18" t="s">
        <v>480</v>
      </c>
      <c r="B7" s="18" t="s">
        <v>482</v>
      </c>
      <c r="C7" s="20" t="s">
        <v>90</v>
      </c>
      <c r="D7" s="20" t="s">
        <v>470</v>
      </c>
      <c r="E7" s="17"/>
      <c r="F7" s="17"/>
      <c r="G7" s="23"/>
    </row>
    <row r="8" customFormat="false" ht="31.5" hidden="false" customHeight="true" outlineLevel="0" collapsed="false">
      <c r="A8" s="18" t="s">
        <v>480</v>
      </c>
      <c r="B8" s="18" t="s">
        <v>483</v>
      </c>
      <c r="C8" s="20" t="s">
        <v>90</v>
      </c>
      <c r="D8" s="20" t="s">
        <v>470</v>
      </c>
      <c r="E8" s="17"/>
      <c r="F8" s="17"/>
      <c r="G8" s="23"/>
    </row>
    <row r="9" customFormat="false" ht="31.5" hidden="false" customHeight="true" outlineLevel="0" collapsed="false">
      <c r="A9" s="18" t="s">
        <v>480</v>
      </c>
      <c r="B9" s="18" t="s">
        <v>484</v>
      </c>
      <c r="C9" s="20" t="s">
        <v>95</v>
      </c>
      <c r="D9" s="20" t="s">
        <v>470</v>
      </c>
      <c r="E9" s="17"/>
      <c r="F9" s="17"/>
      <c r="G9" s="23"/>
    </row>
    <row r="10" customFormat="false" ht="31.5" hidden="false" customHeight="true" outlineLevel="0" collapsed="false">
      <c r="A10" s="18" t="s">
        <v>480</v>
      </c>
      <c r="B10" s="18" t="s">
        <v>485</v>
      </c>
      <c r="C10" s="20" t="s">
        <v>90</v>
      </c>
      <c r="D10" s="20" t="s">
        <v>470</v>
      </c>
      <c r="E10" s="17"/>
      <c r="F10" s="17"/>
      <c r="G10" s="23"/>
    </row>
    <row r="11" customFormat="false" ht="19.5" hidden="false" customHeight="true" outlineLevel="0" collapsed="false">
      <c r="A11" s="16" t="s">
        <v>486</v>
      </c>
      <c r="B11" s="16"/>
      <c r="C11" s="16"/>
      <c r="D11" s="16"/>
      <c r="E11" s="16"/>
      <c r="F11" s="16"/>
      <c r="G11" s="16"/>
    </row>
    <row r="12" customFormat="false" ht="31.5" hidden="false" customHeight="true" outlineLevel="0" collapsed="false">
      <c r="A12" s="18" t="s">
        <v>487</v>
      </c>
      <c r="B12" s="23" t="s">
        <v>488</v>
      </c>
      <c r="C12" s="20" t="s">
        <v>90</v>
      </c>
      <c r="D12" s="20" t="s">
        <v>470</v>
      </c>
      <c r="E12" s="17"/>
      <c r="F12" s="17"/>
      <c r="G12" s="23"/>
    </row>
    <row r="13" customFormat="false" ht="31.5" hidden="false" customHeight="true" outlineLevel="0" collapsed="false">
      <c r="A13" s="18" t="s">
        <v>487</v>
      </c>
      <c r="B13" s="23" t="s">
        <v>489</v>
      </c>
      <c r="C13" s="20" t="s">
        <v>90</v>
      </c>
      <c r="D13" s="20" t="s">
        <v>470</v>
      </c>
      <c r="E13" s="17"/>
      <c r="F13" s="17"/>
      <c r="G13" s="23"/>
    </row>
    <row r="14" customFormat="false" ht="31.5" hidden="false" customHeight="true" outlineLevel="0" collapsed="false">
      <c r="A14" s="18" t="s">
        <v>487</v>
      </c>
      <c r="B14" s="23" t="s">
        <v>490</v>
      </c>
      <c r="C14" s="20" t="s">
        <v>90</v>
      </c>
      <c r="D14" s="20" t="s">
        <v>470</v>
      </c>
      <c r="E14" s="17"/>
      <c r="F14" s="17"/>
      <c r="G14" s="23"/>
    </row>
    <row r="15" customFormat="false" ht="31.5" hidden="false" customHeight="true" outlineLevel="0" collapsed="false">
      <c r="A15" s="18" t="s">
        <v>487</v>
      </c>
      <c r="B15" s="18" t="s">
        <v>491</v>
      </c>
      <c r="C15" s="20" t="s">
        <v>95</v>
      </c>
      <c r="D15" s="20" t="s">
        <v>470</v>
      </c>
      <c r="E15" s="17"/>
      <c r="F15" s="17"/>
      <c r="G15" s="23"/>
    </row>
    <row r="16" customFormat="false" ht="31.5" hidden="false" customHeight="true" outlineLevel="0" collapsed="false">
      <c r="A16" s="18" t="s">
        <v>487</v>
      </c>
      <c r="B16" s="23" t="s">
        <v>492</v>
      </c>
      <c r="C16" s="20" t="s">
        <v>95</v>
      </c>
      <c r="D16" s="20" t="s">
        <v>470</v>
      </c>
      <c r="E16" s="17"/>
      <c r="F16" s="17"/>
      <c r="G16" s="23"/>
    </row>
    <row r="17" customFormat="false" ht="19.5" hidden="false" customHeight="true" outlineLevel="0" collapsed="false">
      <c r="A17" s="16" t="s">
        <v>493</v>
      </c>
      <c r="B17" s="16"/>
      <c r="C17" s="16"/>
      <c r="D17" s="16"/>
      <c r="E17" s="16"/>
      <c r="F17" s="16"/>
      <c r="G17" s="16"/>
    </row>
    <row r="18" customFormat="false" ht="31.5" hidden="false" customHeight="true" outlineLevel="0" collapsed="false">
      <c r="A18" s="18" t="s">
        <v>494</v>
      </c>
      <c r="B18" s="18" t="s">
        <v>495</v>
      </c>
      <c r="C18" s="20" t="s">
        <v>90</v>
      </c>
      <c r="D18" s="20" t="s">
        <v>470</v>
      </c>
      <c r="E18" s="17"/>
      <c r="F18" s="17"/>
      <c r="G18" s="23"/>
    </row>
    <row r="19" customFormat="false" ht="31.5" hidden="false" customHeight="true" outlineLevel="0" collapsed="false">
      <c r="A19" s="18" t="s">
        <v>494</v>
      </c>
      <c r="B19" s="23" t="s">
        <v>496</v>
      </c>
      <c r="C19" s="20" t="s">
        <v>90</v>
      </c>
      <c r="D19" s="20" t="s">
        <v>470</v>
      </c>
      <c r="E19" s="17"/>
      <c r="F19" s="17"/>
      <c r="G19" s="23"/>
    </row>
    <row r="20" customFormat="false" ht="31.5" hidden="false" customHeight="true" outlineLevel="0" collapsed="false">
      <c r="A20" s="18" t="s">
        <v>494</v>
      </c>
      <c r="B20" s="23" t="s">
        <v>497</v>
      </c>
      <c r="C20" s="20" t="s">
        <v>90</v>
      </c>
      <c r="D20" s="20" t="s">
        <v>470</v>
      </c>
      <c r="E20" s="17"/>
      <c r="F20" s="17"/>
      <c r="G20" s="23"/>
    </row>
    <row r="21" customFormat="false" ht="31.5" hidden="false" customHeight="true" outlineLevel="0" collapsed="false">
      <c r="A21" s="18" t="s">
        <v>494</v>
      </c>
      <c r="B21" s="18" t="s">
        <v>498</v>
      </c>
      <c r="C21" s="20" t="s">
        <v>90</v>
      </c>
      <c r="D21" s="20" t="s">
        <v>470</v>
      </c>
      <c r="E21" s="17"/>
      <c r="F21" s="17"/>
      <c r="G21" s="23"/>
    </row>
    <row r="22" customFormat="false" ht="31.5" hidden="false" customHeight="true" outlineLevel="0" collapsed="false">
      <c r="A22" s="18" t="s">
        <v>494</v>
      </c>
      <c r="B22" s="18" t="s">
        <v>499</v>
      </c>
      <c r="C22" s="20" t="s">
        <v>90</v>
      </c>
      <c r="D22" s="20" t="s">
        <v>470</v>
      </c>
      <c r="E22" s="17"/>
      <c r="F22" s="17"/>
      <c r="G22" s="23"/>
    </row>
    <row r="23" customFormat="false" ht="19.5" hidden="false" customHeight="true" outlineLevel="0" collapsed="false">
      <c r="A23" s="16" t="s">
        <v>500</v>
      </c>
      <c r="B23" s="16"/>
      <c r="C23" s="16"/>
      <c r="D23" s="16"/>
      <c r="E23" s="16"/>
      <c r="F23" s="16"/>
      <c r="G23" s="16"/>
    </row>
    <row r="24" customFormat="false" ht="31.5" hidden="false" customHeight="true" outlineLevel="0" collapsed="false">
      <c r="A24" s="18" t="s">
        <v>501</v>
      </c>
      <c r="B24" s="18" t="s">
        <v>502</v>
      </c>
      <c r="C24" s="20" t="s">
        <v>95</v>
      </c>
      <c r="D24" s="20" t="s">
        <v>470</v>
      </c>
      <c r="E24" s="17"/>
      <c r="F24" s="17"/>
      <c r="G24" s="23"/>
    </row>
    <row r="25" customFormat="false" ht="31.5" hidden="false" customHeight="true" outlineLevel="0" collapsed="false">
      <c r="A25" s="18" t="s">
        <v>501</v>
      </c>
      <c r="B25" s="23" t="s">
        <v>503</v>
      </c>
      <c r="C25" s="20" t="s">
        <v>90</v>
      </c>
      <c r="D25" s="20" t="s">
        <v>470</v>
      </c>
      <c r="E25" s="17"/>
      <c r="F25" s="17"/>
      <c r="G25" s="23"/>
    </row>
    <row r="26" customFormat="false" ht="31.5" hidden="false" customHeight="true" outlineLevel="0" collapsed="false">
      <c r="A26" s="18" t="s">
        <v>501</v>
      </c>
      <c r="B26" s="18" t="s">
        <v>504</v>
      </c>
      <c r="C26" s="20" t="s">
        <v>90</v>
      </c>
      <c r="D26" s="20" t="s">
        <v>470</v>
      </c>
      <c r="E26" s="17"/>
      <c r="F26" s="17"/>
      <c r="G26" s="23"/>
    </row>
    <row r="27" customFormat="false" ht="31.5" hidden="false" customHeight="true" outlineLevel="0" collapsed="false">
      <c r="A27" s="18" t="s">
        <v>501</v>
      </c>
      <c r="B27" s="18" t="s">
        <v>505</v>
      </c>
      <c r="C27" s="20" t="s">
        <v>95</v>
      </c>
      <c r="D27" s="20" t="s">
        <v>470</v>
      </c>
      <c r="E27" s="17"/>
      <c r="F27" s="17"/>
      <c r="G27" s="23"/>
    </row>
    <row r="28" customFormat="false" ht="31.5" hidden="false" customHeight="true" outlineLevel="0" collapsed="false">
      <c r="A28" s="18" t="s">
        <v>501</v>
      </c>
      <c r="B28" s="18" t="s">
        <v>506</v>
      </c>
      <c r="C28" s="20" t="s">
        <v>95</v>
      </c>
      <c r="D28" s="20" t="s">
        <v>470</v>
      </c>
      <c r="E28" s="17"/>
      <c r="F28" s="17"/>
      <c r="G28" s="23"/>
    </row>
    <row r="29" customFormat="false" ht="19.5" hidden="false" customHeight="true" outlineLevel="0" collapsed="false">
      <c r="A29" s="16" t="s">
        <v>507</v>
      </c>
      <c r="B29" s="16"/>
      <c r="C29" s="16"/>
      <c r="D29" s="16"/>
      <c r="E29" s="16"/>
      <c r="F29" s="16"/>
      <c r="G29" s="16"/>
    </row>
    <row r="30" customFormat="false" ht="31.5" hidden="false" customHeight="true" outlineLevel="0" collapsed="false">
      <c r="A30" s="18" t="s">
        <v>508</v>
      </c>
      <c r="B30" s="18" t="s">
        <v>509</v>
      </c>
      <c r="C30" s="20" t="s">
        <v>95</v>
      </c>
      <c r="D30" s="20" t="s">
        <v>470</v>
      </c>
      <c r="E30" s="17"/>
      <c r="F30" s="17"/>
      <c r="G30" s="23"/>
    </row>
    <row r="31" customFormat="false" ht="31.5" hidden="false" customHeight="true" outlineLevel="0" collapsed="false">
      <c r="A31" s="18" t="s">
        <v>508</v>
      </c>
      <c r="B31" s="18" t="s">
        <v>510</v>
      </c>
      <c r="C31" s="20" t="s">
        <v>95</v>
      </c>
      <c r="D31" s="20" t="s">
        <v>470</v>
      </c>
      <c r="E31" s="17"/>
      <c r="F31" s="17"/>
      <c r="G31" s="23"/>
    </row>
    <row r="32" customFormat="false" ht="31.5" hidden="false" customHeight="true" outlineLevel="0" collapsed="false">
      <c r="A32" s="18" t="s">
        <v>508</v>
      </c>
      <c r="B32" s="18" t="s">
        <v>511</v>
      </c>
      <c r="C32" s="20" t="s">
        <v>95</v>
      </c>
      <c r="D32" s="20" t="s">
        <v>470</v>
      </c>
      <c r="E32" s="17"/>
      <c r="F32" s="17"/>
      <c r="G32" s="23"/>
    </row>
    <row r="33" customFormat="false" ht="19.5" hidden="false" customHeight="true" outlineLevel="0" collapsed="false">
      <c r="A33" s="16" t="s">
        <v>512</v>
      </c>
      <c r="B33" s="16"/>
      <c r="C33" s="16"/>
      <c r="D33" s="16"/>
      <c r="E33" s="16"/>
      <c r="F33" s="16"/>
      <c r="G33" s="16"/>
    </row>
    <row r="34" customFormat="false" ht="31.5" hidden="false" customHeight="true" outlineLevel="0" collapsed="false">
      <c r="A34" s="18" t="s">
        <v>513</v>
      </c>
      <c r="B34" s="18" t="s">
        <v>514</v>
      </c>
      <c r="C34" s="20" t="s">
        <v>90</v>
      </c>
      <c r="D34" s="20" t="s">
        <v>470</v>
      </c>
      <c r="E34" s="17"/>
      <c r="F34" s="17"/>
      <c r="G34" s="23"/>
    </row>
    <row r="35" customFormat="false" ht="31.5" hidden="false" customHeight="true" outlineLevel="0" collapsed="false">
      <c r="A35" s="18" t="s">
        <v>513</v>
      </c>
      <c r="B35" s="18" t="s">
        <v>515</v>
      </c>
      <c r="C35" s="20" t="s">
        <v>90</v>
      </c>
      <c r="D35" s="20" t="s">
        <v>470</v>
      </c>
      <c r="E35" s="17"/>
      <c r="F35" s="17"/>
      <c r="G35" s="23"/>
    </row>
    <row r="36" customFormat="false" ht="31.5" hidden="false" customHeight="true" outlineLevel="0" collapsed="false">
      <c r="A36" s="18" t="s">
        <v>513</v>
      </c>
      <c r="B36" s="23" t="s">
        <v>516</v>
      </c>
      <c r="C36" s="20" t="s">
        <v>95</v>
      </c>
      <c r="D36" s="20" t="s">
        <v>470</v>
      </c>
      <c r="E36" s="17"/>
      <c r="F36" s="17"/>
      <c r="G36" s="23"/>
    </row>
    <row r="37" customFormat="false" ht="31.5" hidden="false" customHeight="true" outlineLevel="0" collapsed="false">
      <c r="A37" s="18" t="s">
        <v>513</v>
      </c>
      <c r="B37" s="18" t="s">
        <v>517</v>
      </c>
      <c r="C37" s="20" t="s">
        <v>90</v>
      </c>
      <c r="D37" s="20" t="s">
        <v>470</v>
      </c>
      <c r="E37" s="17"/>
      <c r="F37" s="17"/>
      <c r="G37" s="23"/>
    </row>
    <row r="38" customFormat="false" ht="31.5" hidden="false" customHeight="true" outlineLevel="0" collapsed="false">
      <c r="A38" s="18" t="s">
        <v>513</v>
      </c>
      <c r="B38" s="18" t="s">
        <v>518</v>
      </c>
      <c r="C38" s="20" t="s">
        <v>95</v>
      </c>
      <c r="D38" s="20" t="s">
        <v>470</v>
      </c>
      <c r="E38" s="17"/>
      <c r="F38" s="17"/>
      <c r="G38" s="23"/>
    </row>
    <row r="39" customFormat="false" ht="19.5" hidden="false" customHeight="true" outlineLevel="0" collapsed="false">
      <c r="A39" s="16" t="s">
        <v>519</v>
      </c>
      <c r="B39" s="16"/>
      <c r="C39" s="16"/>
      <c r="D39" s="16"/>
      <c r="E39" s="16"/>
      <c r="F39" s="16"/>
      <c r="G39" s="16"/>
    </row>
    <row r="40" customFormat="false" ht="31.5" hidden="false" customHeight="true" outlineLevel="0" collapsed="false">
      <c r="A40" s="18" t="s">
        <v>520</v>
      </c>
      <c r="B40" s="18" t="s">
        <v>521</v>
      </c>
      <c r="C40" s="20" t="s">
        <v>90</v>
      </c>
      <c r="D40" s="20" t="s">
        <v>470</v>
      </c>
      <c r="E40" s="17"/>
      <c r="F40" s="17"/>
      <c r="G40" s="23"/>
    </row>
    <row r="41" customFormat="false" ht="31.5" hidden="false" customHeight="true" outlineLevel="0" collapsed="false">
      <c r="A41" s="18" t="s">
        <v>520</v>
      </c>
      <c r="B41" s="18" t="s">
        <v>522</v>
      </c>
      <c r="C41" s="20" t="s">
        <v>95</v>
      </c>
      <c r="D41" s="20" t="s">
        <v>470</v>
      </c>
      <c r="E41" s="17"/>
      <c r="F41" s="17"/>
      <c r="G41" s="23"/>
    </row>
    <row r="42" customFormat="false" ht="31.5" hidden="false" customHeight="true" outlineLevel="0" collapsed="false">
      <c r="A42" s="18" t="s">
        <v>520</v>
      </c>
      <c r="B42" s="18" t="s">
        <v>523</v>
      </c>
      <c r="C42" s="20" t="s">
        <v>95</v>
      </c>
      <c r="D42" s="20" t="s">
        <v>470</v>
      </c>
      <c r="E42" s="17"/>
      <c r="F42" s="17"/>
      <c r="G42" s="23"/>
    </row>
    <row r="43" customFormat="false" ht="19.5" hidden="false" customHeight="true" outlineLevel="0" collapsed="false">
      <c r="A43" s="16" t="s">
        <v>524</v>
      </c>
      <c r="B43" s="16"/>
      <c r="C43" s="16"/>
      <c r="D43" s="16"/>
      <c r="E43" s="16"/>
      <c r="F43" s="16"/>
      <c r="G43" s="16"/>
    </row>
    <row r="44" customFormat="false" ht="31.5" hidden="false" customHeight="true" outlineLevel="0" collapsed="false">
      <c r="A44" s="18" t="s">
        <v>525</v>
      </c>
      <c r="B44" s="18" t="s">
        <v>526</v>
      </c>
      <c r="C44" s="20" t="s">
        <v>90</v>
      </c>
      <c r="D44" s="20" t="s">
        <v>470</v>
      </c>
      <c r="E44" s="17"/>
      <c r="F44" s="17"/>
      <c r="G44" s="23"/>
    </row>
    <row r="45" customFormat="false" ht="31.5" hidden="false" customHeight="true" outlineLevel="0" collapsed="false">
      <c r="A45" s="18" t="s">
        <v>525</v>
      </c>
      <c r="B45" s="18" t="s">
        <v>527</v>
      </c>
      <c r="C45" s="20" t="s">
        <v>90</v>
      </c>
      <c r="D45" s="20" t="s">
        <v>470</v>
      </c>
      <c r="E45" s="17"/>
      <c r="F45" s="17"/>
      <c r="G45" s="23"/>
    </row>
    <row r="46" customFormat="false" ht="31.5" hidden="false" customHeight="true" outlineLevel="0" collapsed="false">
      <c r="A46" s="18" t="s">
        <v>525</v>
      </c>
      <c r="B46" s="23" t="s">
        <v>528</v>
      </c>
      <c r="C46" s="20" t="s">
        <v>90</v>
      </c>
      <c r="D46" s="20" t="s">
        <v>470</v>
      </c>
      <c r="E46" s="17"/>
      <c r="F46" s="17"/>
      <c r="G46" s="23"/>
    </row>
    <row r="47" customFormat="false" ht="31.5" hidden="false" customHeight="true" outlineLevel="0" collapsed="false">
      <c r="A47" s="18" t="s">
        <v>525</v>
      </c>
      <c r="B47" s="18" t="s">
        <v>529</v>
      </c>
      <c r="C47" s="20" t="s">
        <v>90</v>
      </c>
      <c r="D47" s="20" t="s">
        <v>470</v>
      </c>
      <c r="E47" s="17"/>
      <c r="F47" s="17"/>
      <c r="G47" s="23"/>
    </row>
    <row r="48" customFormat="false" ht="31.5" hidden="false" customHeight="true" outlineLevel="0" collapsed="false">
      <c r="A48" s="18" t="s">
        <v>525</v>
      </c>
      <c r="B48" s="18" t="s">
        <v>530</v>
      </c>
      <c r="C48" s="20" t="s">
        <v>95</v>
      </c>
      <c r="D48" s="20" t="s">
        <v>470</v>
      </c>
      <c r="E48" s="17"/>
      <c r="F48" s="17"/>
      <c r="G48" s="23"/>
    </row>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0">
    <mergeCell ref="A1:G1"/>
    <mergeCell ref="A2:D2"/>
    <mergeCell ref="A5:G5"/>
    <mergeCell ref="A11:G11"/>
    <mergeCell ref="A17:G17"/>
    <mergeCell ref="A23:G23"/>
    <mergeCell ref="A29:G29"/>
    <mergeCell ref="A33:G33"/>
    <mergeCell ref="A39:G39"/>
    <mergeCell ref="A43:G43"/>
  </mergeCells>
  <conditionalFormatting sqref="D5:D48">
    <cfRule type="cellIs" priority="2" operator="equal" aboveAverage="0" equalAverage="0" bottom="0" percent="0" rank="0" text="" dxfId="0">
      <formula>"対応済み"</formula>
    </cfRule>
    <cfRule type="cellIs" priority="3" operator="equal" aboveAverage="0" equalAverage="0" bottom="0" percent="0" rank="0" text="" dxfId="2">
      <formula>"未対応"</formula>
    </cfRule>
  </conditionalFormatting>
  <conditionalFormatting sqref="C5:C48">
    <cfRule type="cellIs" priority="4" operator="equal" aboveAverage="0" equalAverage="0" bottom="0" percent="0" rank="0" text="" dxfId="2">
      <formula>"必須"</formula>
    </cfRule>
  </conditionalFormatting>
  <dataValidations count="2">
    <dataValidation allowBlank="true" errorStyle="stop" operator="between" showDropDown="false" showErrorMessage="false" showInputMessage="false" sqref="C6:C10 C12:C16 C18:C22 C24:C28 C30:C32 C34:C38 C40:C42 C44:C48" type="list">
      <formula1>"必須,推奨"</formula1>
      <formula2>0</formula2>
    </dataValidation>
    <dataValidation allowBlank="true" errorStyle="stop" operator="between" showDropDown="false" showErrorMessage="false" showInputMessage="false" sqref="D6:D10 D12:D16 D18:D22 D24:D28 D30:D32 D34:D38 D40:D42 D44:D48" type="list">
      <formula1>"未対応,対応中,対応済み,対象外"</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33"/>
    <col collapsed="false" customWidth="true" hidden="false" outlineLevel="0" max="2" min="2" style="1" width="36"/>
    <col collapsed="false" customWidth="true" hidden="false" outlineLevel="0" max="3" min="3" style="1" width="21.71"/>
    <col collapsed="false" customWidth="true" hidden="false" outlineLevel="0" max="4" min="4" style="1" width="22.71"/>
    <col collapsed="false" customWidth="true" hidden="false" outlineLevel="0" max="6" min="5" style="1" width="16"/>
    <col collapsed="false" customWidth="true" hidden="false" outlineLevel="0" max="26" min="7" style="1" width="8.71"/>
  </cols>
  <sheetData>
    <row r="1" customFormat="false" ht="27.75" hidden="false" customHeight="true" outlineLevel="0" collapsed="false">
      <c r="A1" s="13" t="s">
        <v>531</v>
      </c>
      <c r="B1" s="13"/>
      <c r="C1" s="13"/>
      <c r="D1" s="13"/>
      <c r="E1" s="13"/>
      <c r="F1" s="13"/>
    </row>
    <row r="2" customFormat="false" ht="15" hidden="false" customHeight="true" outlineLevel="0" collapsed="false">
      <c r="A2" s="29" t="s">
        <v>532</v>
      </c>
      <c r="B2" s="29"/>
      <c r="C2" s="29"/>
      <c r="D2" s="29"/>
      <c r="E2" s="29"/>
      <c r="F2" s="29"/>
    </row>
    <row r="3" customFormat="false" ht="15" hidden="false" customHeight="true" outlineLevel="0" collapsed="false"/>
    <row r="4" customFormat="false" ht="21.75" hidden="false" customHeight="true" outlineLevel="0" collapsed="false">
      <c r="A4" s="24" t="s">
        <v>533</v>
      </c>
      <c r="B4" s="24"/>
      <c r="C4" s="24"/>
      <c r="D4" s="24"/>
    </row>
    <row r="5" customFormat="false" ht="19.5" hidden="false" customHeight="true" outlineLevel="0" collapsed="false">
      <c r="A5" s="15" t="s">
        <v>534</v>
      </c>
      <c r="B5" s="15" t="s">
        <v>230</v>
      </c>
      <c r="C5" s="15" t="s">
        <v>535</v>
      </c>
      <c r="D5" s="15" t="s">
        <v>536</v>
      </c>
    </row>
    <row r="6" customFormat="false" ht="21.75" hidden="false" customHeight="true" outlineLevel="0" collapsed="false">
      <c r="A6" s="18" t="s">
        <v>537</v>
      </c>
      <c r="B6" s="25" t="s">
        <v>538</v>
      </c>
      <c r="C6" s="23" t="s">
        <v>539</v>
      </c>
      <c r="D6" s="18" t="s">
        <v>540</v>
      </c>
    </row>
    <row r="7" customFormat="false" ht="21.75" hidden="false" customHeight="true" outlineLevel="0" collapsed="false">
      <c r="A7" s="21" t="s">
        <v>541</v>
      </c>
      <c r="B7" s="25" t="s">
        <v>542</v>
      </c>
      <c r="C7" s="18" t="s">
        <v>543</v>
      </c>
      <c r="D7" s="18" t="s">
        <v>540</v>
      </c>
    </row>
    <row r="8" customFormat="false" ht="21.75" hidden="false" customHeight="true" outlineLevel="0" collapsed="false">
      <c r="A8" s="18" t="s">
        <v>544</v>
      </c>
      <c r="B8" s="25" t="s">
        <v>545</v>
      </c>
      <c r="C8" s="23" t="s">
        <v>546</v>
      </c>
      <c r="D8" s="18" t="s">
        <v>540</v>
      </c>
    </row>
    <row r="9" customFormat="false" ht="21.75" hidden="false" customHeight="true" outlineLevel="0" collapsed="false">
      <c r="A9" s="23"/>
      <c r="B9" s="23"/>
      <c r="C9" s="23"/>
      <c r="D9" s="23"/>
    </row>
    <row r="10" customFormat="false" ht="15" hidden="false" customHeight="true" outlineLevel="0" collapsed="false"/>
    <row r="11" customFormat="false" ht="15" hidden="false" customHeight="true" outlineLevel="0" collapsed="false"/>
    <row r="12" customFormat="false" ht="21.75" hidden="false" customHeight="true" outlineLevel="0" collapsed="false">
      <c r="A12" s="24" t="s">
        <v>547</v>
      </c>
      <c r="B12" s="24"/>
      <c r="C12" s="24"/>
      <c r="D12" s="24"/>
      <c r="E12" s="24"/>
      <c r="F12" s="24"/>
    </row>
    <row r="13" customFormat="false" ht="19.5" hidden="false" customHeight="true" outlineLevel="0" collapsed="false">
      <c r="A13" s="15" t="s">
        <v>548</v>
      </c>
      <c r="B13" s="15" t="s">
        <v>549</v>
      </c>
      <c r="C13" s="15" t="s">
        <v>550</v>
      </c>
      <c r="D13" s="15" t="s">
        <v>551</v>
      </c>
      <c r="E13" s="15" t="s">
        <v>552</v>
      </c>
      <c r="F13" s="15" t="s">
        <v>553</v>
      </c>
    </row>
    <row r="14" customFormat="false" ht="18" hidden="false" customHeight="true" outlineLevel="0" collapsed="false">
      <c r="A14" s="17" t="s">
        <v>554</v>
      </c>
      <c r="B14" s="36" t="n">
        <v>0</v>
      </c>
      <c r="C14" s="37" t="n">
        <v>150</v>
      </c>
      <c r="D14" s="38" t="n">
        <f aca="false">B14*C14</f>
        <v>0</v>
      </c>
      <c r="E14" s="39" t="n">
        <f aca="false">SUM($B$14:B14)</f>
        <v>0</v>
      </c>
      <c r="F14" s="38" t="n">
        <f aca="false">SUM($D$14:D14)</f>
        <v>0</v>
      </c>
    </row>
    <row r="15" customFormat="false" ht="18" hidden="false" customHeight="true" outlineLevel="0" collapsed="false">
      <c r="A15" s="17" t="s">
        <v>555</v>
      </c>
      <c r="B15" s="36" t="n">
        <v>2</v>
      </c>
      <c r="C15" s="37" t="n">
        <v>150</v>
      </c>
      <c r="D15" s="38" t="n">
        <f aca="false">B15*C15</f>
        <v>300</v>
      </c>
      <c r="E15" s="39" t="n">
        <f aca="false">SUM($B$14:B15)</f>
        <v>2</v>
      </c>
      <c r="F15" s="38" t="n">
        <f aca="false">SUM($D$14:D15)</f>
        <v>300</v>
      </c>
    </row>
    <row r="16" customFormat="false" ht="18" hidden="false" customHeight="true" outlineLevel="0" collapsed="false">
      <c r="A16" s="17" t="s">
        <v>556</v>
      </c>
      <c r="B16" s="36" t="n">
        <v>5</v>
      </c>
      <c r="C16" s="37" t="n">
        <v>150</v>
      </c>
      <c r="D16" s="38" t="n">
        <f aca="false">B16*C16</f>
        <v>750</v>
      </c>
      <c r="E16" s="39" t="n">
        <f aca="false">SUM($B$14:B16)</f>
        <v>7</v>
      </c>
      <c r="F16" s="38" t="n">
        <f aca="false">SUM($D$14:D16)</f>
        <v>1050</v>
      </c>
    </row>
    <row r="17" customFormat="false" ht="18" hidden="false" customHeight="true" outlineLevel="0" collapsed="false">
      <c r="A17" s="17" t="s">
        <v>557</v>
      </c>
      <c r="B17" s="36" t="n">
        <v>10</v>
      </c>
      <c r="C17" s="37" t="n">
        <v>150</v>
      </c>
      <c r="D17" s="38" t="n">
        <f aca="false">B17*C17</f>
        <v>1500</v>
      </c>
      <c r="E17" s="39" t="n">
        <f aca="false">SUM($B$14:B17)</f>
        <v>17</v>
      </c>
      <c r="F17" s="38" t="n">
        <f aca="false">SUM($D$14:D17)</f>
        <v>2550</v>
      </c>
    </row>
    <row r="18" customFormat="false" ht="18" hidden="false" customHeight="true" outlineLevel="0" collapsed="false">
      <c r="A18" s="17" t="s">
        <v>558</v>
      </c>
      <c r="B18" s="36" t="n">
        <v>18</v>
      </c>
      <c r="C18" s="37" t="n">
        <v>150</v>
      </c>
      <c r="D18" s="38" t="n">
        <f aca="false">B18*C18</f>
        <v>2700</v>
      </c>
      <c r="E18" s="39" t="n">
        <f aca="false">SUM($B$14:B18)</f>
        <v>35</v>
      </c>
      <c r="F18" s="38" t="n">
        <f aca="false">SUM($D$14:D18)</f>
        <v>5250</v>
      </c>
    </row>
    <row r="19" customFormat="false" ht="18" hidden="false" customHeight="true" outlineLevel="0" collapsed="false">
      <c r="A19" s="17" t="s">
        <v>559</v>
      </c>
      <c r="B19" s="36" t="n">
        <v>28</v>
      </c>
      <c r="C19" s="37" t="n">
        <v>150</v>
      </c>
      <c r="D19" s="38" t="n">
        <f aca="false">B19*C19</f>
        <v>4200</v>
      </c>
      <c r="E19" s="39" t="n">
        <f aca="false">SUM($B$14:B19)</f>
        <v>63</v>
      </c>
      <c r="F19" s="38" t="n">
        <f aca="false">SUM($D$14:D19)</f>
        <v>9450</v>
      </c>
    </row>
    <row r="20" customFormat="false" ht="18" hidden="false" customHeight="true" outlineLevel="0" collapsed="false">
      <c r="A20" s="17" t="s">
        <v>560</v>
      </c>
      <c r="B20" s="36" t="n">
        <v>40</v>
      </c>
      <c r="C20" s="37" t="n">
        <v>150</v>
      </c>
      <c r="D20" s="38" t="n">
        <f aca="false">B20*C20</f>
        <v>6000</v>
      </c>
      <c r="E20" s="39" t="n">
        <f aca="false">SUM($B$14:B20)</f>
        <v>103</v>
      </c>
      <c r="F20" s="38" t="n">
        <f aca="false">SUM($D$14:D20)</f>
        <v>15450</v>
      </c>
    </row>
    <row r="21" customFormat="false" ht="18" hidden="false" customHeight="true" outlineLevel="0" collapsed="false">
      <c r="A21" s="17" t="s">
        <v>561</v>
      </c>
      <c r="B21" s="36" t="n">
        <v>55</v>
      </c>
      <c r="C21" s="37" t="n">
        <v>150</v>
      </c>
      <c r="D21" s="38" t="n">
        <f aca="false">B21*C21</f>
        <v>8250</v>
      </c>
      <c r="E21" s="39" t="n">
        <f aca="false">SUM($B$14:B21)</f>
        <v>158</v>
      </c>
      <c r="F21" s="38" t="n">
        <f aca="false">SUM($D$14:D21)</f>
        <v>23700</v>
      </c>
    </row>
    <row r="22" customFormat="false" ht="18" hidden="false" customHeight="true" outlineLevel="0" collapsed="false">
      <c r="A22" s="17" t="s">
        <v>562</v>
      </c>
      <c r="B22" s="36" t="n">
        <v>70</v>
      </c>
      <c r="C22" s="37" t="n">
        <v>150</v>
      </c>
      <c r="D22" s="38" t="n">
        <f aca="false">B22*C22</f>
        <v>10500</v>
      </c>
      <c r="E22" s="39" t="n">
        <f aca="false">SUM($B$14:B22)</f>
        <v>228</v>
      </c>
      <c r="F22" s="38" t="n">
        <f aca="false">SUM($D$14:D22)</f>
        <v>34200</v>
      </c>
    </row>
    <row r="23" customFormat="false" ht="18" hidden="false" customHeight="true" outlineLevel="0" collapsed="false">
      <c r="A23" s="17" t="s">
        <v>563</v>
      </c>
      <c r="B23" s="36" t="n">
        <v>85</v>
      </c>
      <c r="C23" s="37" t="n">
        <v>150</v>
      </c>
      <c r="D23" s="38" t="n">
        <f aca="false">B23*C23</f>
        <v>12750</v>
      </c>
      <c r="E23" s="39" t="n">
        <f aca="false">SUM($B$14:B23)</f>
        <v>313</v>
      </c>
      <c r="F23" s="38" t="n">
        <f aca="false">SUM($D$14:D23)</f>
        <v>46950</v>
      </c>
    </row>
    <row r="24" customFormat="false" ht="18" hidden="false" customHeight="true" outlineLevel="0" collapsed="false">
      <c r="A24" s="17" t="s">
        <v>564</v>
      </c>
      <c r="B24" s="36" t="n">
        <v>100</v>
      </c>
      <c r="C24" s="37" t="n">
        <v>150</v>
      </c>
      <c r="D24" s="38" t="n">
        <f aca="false">B24*C24</f>
        <v>15000</v>
      </c>
      <c r="E24" s="39" t="n">
        <f aca="false">SUM($B$14:B24)</f>
        <v>413</v>
      </c>
      <c r="F24" s="38" t="n">
        <f aca="false">SUM($D$14:D24)</f>
        <v>61950</v>
      </c>
    </row>
    <row r="25" customFormat="false" ht="18" hidden="false" customHeight="true" outlineLevel="0" collapsed="false">
      <c r="A25" s="17" t="s">
        <v>565</v>
      </c>
      <c r="B25" s="36" t="n">
        <v>120</v>
      </c>
      <c r="C25" s="37" t="n">
        <v>150</v>
      </c>
      <c r="D25" s="38" t="n">
        <f aca="false">B25*C25</f>
        <v>18000</v>
      </c>
      <c r="E25" s="39" t="n">
        <f aca="false">SUM($B$14:B25)</f>
        <v>533</v>
      </c>
      <c r="F25" s="38" t="n">
        <f aca="false">SUM($D$14:D25)</f>
        <v>79950</v>
      </c>
    </row>
    <row r="26" customFormat="false" ht="15" hidden="false" customHeight="true" outlineLevel="0" collapsed="false">
      <c r="A26" s="40" t="s">
        <v>566</v>
      </c>
      <c r="B26" s="41"/>
      <c r="C26" s="41"/>
      <c r="D26" s="42" t="n">
        <f aca="false">SUM(D14:D25)</f>
        <v>79950</v>
      </c>
      <c r="E26" s="43" t="n">
        <f aca="false">E25</f>
        <v>533</v>
      </c>
      <c r="F26" s="42" t="n">
        <f aca="false">F25</f>
        <v>79950</v>
      </c>
    </row>
    <row r="27" customFormat="false" ht="15.75" hidden="false" customHeight="true" outlineLevel="0" collapsed="false"/>
    <row r="28" customFormat="false" ht="15.75" hidden="false" customHeight="true" outlineLevel="0" collapsed="false"/>
    <row r="29" customFormat="false" ht="21.75" hidden="false" customHeight="true" outlineLevel="0" collapsed="false">
      <c r="A29" s="24" t="s">
        <v>567</v>
      </c>
      <c r="B29" s="24"/>
      <c r="C29" s="24"/>
      <c r="D29" s="24"/>
    </row>
    <row r="30" customFormat="false" ht="19.5" hidden="false" customHeight="true" outlineLevel="0" collapsed="false">
      <c r="A30" s="15" t="s">
        <v>568</v>
      </c>
      <c r="B30" s="15" t="s">
        <v>168</v>
      </c>
      <c r="C30" s="15" t="s">
        <v>569</v>
      </c>
      <c r="D30" s="15" t="s">
        <v>53</v>
      </c>
    </row>
    <row r="31" customFormat="false" ht="19.5" hidden="false" customHeight="true" outlineLevel="0" collapsed="false">
      <c r="A31" s="18" t="s">
        <v>570</v>
      </c>
      <c r="B31" s="20" t="s">
        <v>571</v>
      </c>
      <c r="C31" s="37" t="n">
        <v>0</v>
      </c>
      <c r="D31" s="32" t="s">
        <v>572</v>
      </c>
    </row>
    <row r="32" customFormat="false" ht="19.5" hidden="false" customHeight="true" outlineLevel="0" collapsed="false">
      <c r="A32" s="18" t="s">
        <v>573</v>
      </c>
      <c r="B32" s="20" t="s">
        <v>574</v>
      </c>
      <c r="C32" s="37" t="n">
        <v>0</v>
      </c>
      <c r="D32" s="25" t="s">
        <v>575</v>
      </c>
    </row>
    <row r="33" customFormat="false" ht="19.5" hidden="false" customHeight="true" outlineLevel="0" collapsed="false">
      <c r="A33" s="18" t="s">
        <v>576</v>
      </c>
      <c r="B33" s="20" t="s">
        <v>571</v>
      </c>
      <c r="C33" s="37" t="n">
        <v>550</v>
      </c>
      <c r="D33" s="25" t="s">
        <v>577</v>
      </c>
    </row>
    <row r="34" customFormat="false" ht="19.5" hidden="false" customHeight="true" outlineLevel="0" collapsed="false">
      <c r="A34" s="18" t="s">
        <v>578</v>
      </c>
      <c r="B34" s="20" t="s">
        <v>574</v>
      </c>
      <c r="C34" s="37" t="n">
        <v>0</v>
      </c>
      <c r="D34" s="18" t="s">
        <v>579</v>
      </c>
    </row>
    <row r="35" customFormat="false" ht="19.5" hidden="false" customHeight="true" outlineLevel="0" collapsed="false">
      <c r="A35" s="18" t="s">
        <v>580</v>
      </c>
      <c r="B35" s="20" t="s">
        <v>574</v>
      </c>
      <c r="C35" s="37" t="n">
        <v>0</v>
      </c>
      <c r="D35" s="23"/>
    </row>
    <row r="36" customFormat="false" ht="15" hidden="false" customHeight="true" outlineLevel="0" collapsed="false">
      <c r="A36" s="40" t="s">
        <v>581</v>
      </c>
      <c r="B36" s="41"/>
      <c r="C36" s="42" t="n">
        <f aca="false">SUM(C31:C35)</f>
        <v>550</v>
      </c>
      <c r="D36" s="41"/>
    </row>
    <row r="37" customFormat="false" ht="15.75" hidden="false" customHeight="true" outlineLevel="0" collapsed="false"/>
    <row r="38" customFormat="false" ht="15.75" hidden="false" customHeight="true" outlineLevel="0" collapsed="false"/>
    <row r="39" customFormat="false" ht="21.75" hidden="false" customHeight="true" outlineLevel="0" collapsed="false">
      <c r="A39" s="24" t="s">
        <v>582</v>
      </c>
      <c r="B39" s="24"/>
      <c r="C39" s="24"/>
      <c r="D39" s="24"/>
      <c r="E39" s="24"/>
    </row>
    <row r="40" customFormat="false" ht="19.5" hidden="false" customHeight="true" outlineLevel="0" collapsed="false">
      <c r="A40" s="15" t="s">
        <v>548</v>
      </c>
      <c r="B40" s="15" t="s">
        <v>583</v>
      </c>
      <c r="C40" s="15" t="s">
        <v>584</v>
      </c>
      <c r="D40" s="15" t="s">
        <v>585</v>
      </c>
      <c r="E40" s="15" t="s">
        <v>586</v>
      </c>
    </row>
    <row r="41" customFormat="false" ht="18" hidden="false" customHeight="true" outlineLevel="0" collapsed="false">
      <c r="A41" s="17" t="s">
        <v>554</v>
      </c>
      <c r="B41" s="38" t="n">
        <f aca="false">D14</f>
        <v>0</v>
      </c>
      <c r="C41" s="38" t="n">
        <f aca="false">$C$36</f>
        <v>550</v>
      </c>
      <c r="D41" s="44" t="n">
        <f aca="false">B41-C41</f>
        <v>-550</v>
      </c>
      <c r="E41" s="44" t="n">
        <f aca="false">D41</f>
        <v>-550</v>
      </c>
    </row>
    <row r="42" customFormat="false" ht="18" hidden="false" customHeight="true" outlineLevel="0" collapsed="false">
      <c r="A42" s="17" t="s">
        <v>555</v>
      </c>
      <c r="B42" s="38" t="n">
        <f aca="false">D15</f>
        <v>300</v>
      </c>
      <c r="C42" s="38" t="n">
        <f aca="false">$C$36</f>
        <v>550</v>
      </c>
      <c r="D42" s="44" t="n">
        <f aca="false">B42-C42</f>
        <v>-250</v>
      </c>
      <c r="E42" s="44" t="n">
        <f aca="false">E41+D42</f>
        <v>-800</v>
      </c>
    </row>
    <row r="43" customFormat="false" ht="18" hidden="false" customHeight="true" outlineLevel="0" collapsed="false">
      <c r="A43" s="17" t="s">
        <v>556</v>
      </c>
      <c r="B43" s="38" t="n">
        <f aca="false">D16</f>
        <v>750</v>
      </c>
      <c r="C43" s="38" t="n">
        <f aca="false">$C$36</f>
        <v>550</v>
      </c>
      <c r="D43" s="44" t="n">
        <f aca="false">B43-C43</f>
        <v>200</v>
      </c>
      <c r="E43" s="44" t="n">
        <f aca="false">E42+D43</f>
        <v>-600</v>
      </c>
    </row>
    <row r="44" customFormat="false" ht="18" hidden="false" customHeight="true" outlineLevel="0" collapsed="false">
      <c r="A44" s="17" t="s">
        <v>557</v>
      </c>
      <c r="B44" s="38" t="n">
        <f aca="false">D17</f>
        <v>1500</v>
      </c>
      <c r="C44" s="38" t="n">
        <f aca="false">$C$36</f>
        <v>550</v>
      </c>
      <c r="D44" s="44" t="n">
        <f aca="false">B44-C44</f>
        <v>950</v>
      </c>
      <c r="E44" s="44" t="n">
        <f aca="false">E43+D44</f>
        <v>350</v>
      </c>
    </row>
    <row r="45" customFormat="false" ht="18" hidden="false" customHeight="true" outlineLevel="0" collapsed="false">
      <c r="A45" s="17" t="s">
        <v>558</v>
      </c>
      <c r="B45" s="38" t="n">
        <f aca="false">D18</f>
        <v>2700</v>
      </c>
      <c r="C45" s="38" t="n">
        <f aca="false">$C$36</f>
        <v>550</v>
      </c>
      <c r="D45" s="44" t="n">
        <f aca="false">B45-C45</f>
        <v>2150</v>
      </c>
      <c r="E45" s="44" t="n">
        <f aca="false">E44+D45</f>
        <v>2500</v>
      </c>
    </row>
    <row r="46" customFormat="false" ht="18" hidden="false" customHeight="true" outlineLevel="0" collapsed="false">
      <c r="A46" s="17" t="s">
        <v>559</v>
      </c>
      <c r="B46" s="38" t="n">
        <f aca="false">D19</f>
        <v>4200</v>
      </c>
      <c r="C46" s="38" t="n">
        <f aca="false">$C$36</f>
        <v>550</v>
      </c>
      <c r="D46" s="44" t="n">
        <f aca="false">B46-C46</f>
        <v>3650</v>
      </c>
      <c r="E46" s="44" t="n">
        <f aca="false">E45+D46</f>
        <v>6150</v>
      </c>
    </row>
    <row r="47" customFormat="false" ht="18" hidden="false" customHeight="true" outlineLevel="0" collapsed="false">
      <c r="A47" s="17" t="s">
        <v>560</v>
      </c>
      <c r="B47" s="38" t="n">
        <f aca="false">D20</f>
        <v>6000</v>
      </c>
      <c r="C47" s="38" t="n">
        <f aca="false">$C$36</f>
        <v>550</v>
      </c>
      <c r="D47" s="44" t="n">
        <f aca="false">B47-C47</f>
        <v>5450</v>
      </c>
      <c r="E47" s="44" t="n">
        <f aca="false">E46+D47</f>
        <v>11600</v>
      </c>
    </row>
    <row r="48" customFormat="false" ht="18" hidden="false" customHeight="true" outlineLevel="0" collapsed="false">
      <c r="A48" s="17" t="s">
        <v>561</v>
      </c>
      <c r="B48" s="38" t="n">
        <f aca="false">D21</f>
        <v>8250</v>
      </c>
      <c r="C48" s="38" t="n">
        <f aca="false">$C$36</f>
        <v>550</v>
      </c>
      <c r="D48" s="44" t="n">
        <f aca="false">B48-C48</f>
        <v>7700</v>
      </c>
      <c r="E48" s="44" t="n">
        <f aca="false">E47+D48</f>
        <v>19300</v>
      </c>
    </row>
    <row r="49" customFormat="false" ht="18" hidden="false" customHeight="true" outlineLevel="0" collapsed="false">
      <c r="A49" s="17" t="s">
        <v>562</v>
      </c>
      <c r="B49" s="38" t="n">
        <f aca="false">D22</f>
        <v>10500</v>
      </c>
      <c r="C49" s="38" t="n">
        <f aca="false">$C$36</f>
        <v>550</v>
      </c>
      <c r="D49" s="44" t="n">
        <f aca="false">B49-C49</f>
        <v>9950</v>
      </c>
      <c r="E49" s="44" t="n">
        <f aca="false">E48+D49</f>
        <v>29250</v>
      </c>
    </row>
    <row r="50" customFormat="false" ht="18" hidden="false" customHeight="true" outlineLevel="0" collapsed="false">
      <c r="A50" s="17" t="s">
        <v>563</v>
      </c>
      <c r="B50" s="38" t="n">
        <f aca="false">D23</f>
        <v>12750</v>
      </c>
      <c r="C50" s="38" t="n">
        <f aca="false">$C$36</f>
        <v>550</v>
      </c>
      <c r="D50" s="44" t="n">
        <f aca="false">B50-C50</f>
        <v>12200</v>
      </c>
      <c r="E50" s="44" t="n">
        <f aca="false">E49+D50</f>
        <v>41450</v>
      </c>
    </row>
    <row r="51" customFormat="false" ht="18" hidden="false" customHeight="true" outlineLevel="0" collapsed="false">
      <c r="A51" s="17" t="s">
        <v>564</v>
      </c>
      <c r="B51" s="38" t="n">
        <f aca="false">D24</f>
        <v>15000</v>
      </c>
      <c r="C51" s="38" t="n">
        <f aca="false">$C$36</f>
        <v>550</v>
      </c>
      <c r="D51" s="44" t="n">
        <f aca="false">B51-C51</f>
        <v>14450</v>
      </c>
      <c r="E51" s="44" t="n">
        <f aca="false">E50+D51</f>
        <v>55900</v>
      </c>
    </row>
    <row r="52" customFormat="false" ht="18" hidden="false" customHeight="true" outlineLevel="0" collapsed="false">
      <c r="A52" s="17" t="s">
        <v>565</v>
      </c>
      <c r="B52" s="38" t="n">
        <f aca="false">D25</f>
        <v>18000</v>
      </c>
      <c r="C52" s="38" t="n">
        <f aca="false">$C$36</f>
        <v>550</v>
      </c>
      <c r="D52" s="44" t="n">
        <f aca="false">B52-C52</f>
        <v>17450</v>
      </c>
      <c r="E52" s="44" t="n">
        <f aca="false">E51+D52</f>
        <v>73350</v>
      </c>
    </row>
    <row r="53" customFormat="false" ht="15" hidden="false" customHeight="true" outlineLevel="0" collapsed="false">
      <c r="A53" s="29" t="s">
        <v>587</v>
      </c>
      <c r="B53" s="29"/>
      <c r="C53" s="29"/>
      <c r="D53" s="29"/>
      <c r="E53" s="29"/>
    </row>
    <row r="54" customFormat="false" ht="15.75" hidden="false" customHeight="true" outlineLevel="0" collapsed="false"/>
    <row r="55" customFormat="false" ht="15.75" hidden="false" customHeight="true" outlineLevel="0" collapsed="false"/>
    <row r="56" customFormat="false" ht="21.75" hidden="false" customHeight="true" outlineLevel="0" collapsed="false">
      <c r="A56" s="28" t="s">
        <v>588</v>
      </c>
      <c r="B56" s="28"/>
      <c r="C56" s="28"/>
      <c r="D56" s="28"/>
    </row>
    <row r="57" customFormat="false" ht="19.5" hidden="false" customHeight="true" outlineLevel="0" collapsed="false">
      <c r="A57" s="14" t="s">
        <v>589</v>
      </c>
      <c r="B57" s="15" t="s">
        <v>590</v>
      </c>
      <c r="C57" s="15" t="s">
        <v>591</v>
      </c>
      <c r="D57" s="15" t="s">
        <v>592</v>
      </c>
    </row>
    <row r="58" customFormat="false" ht="19.5" hidden="false" customHeight="true" outlineLevel="0" collapsed="false">
      <c r="A58" s="18" t="s">
        <v>593</v>
      </c>
      <c r="B58" s="36" t="n">
        <v>150</v>
      </c>
      <c r="C58" s="36" t="n">
        <v>0</v>
      </c>
      <c r="D58" s="45" t="n">
        <f aca="false">IFERROR(C58/B58,0)</f>
        <v>0</v>
      </c>
    </row>
    <row r="59" customFormat="false" ht="19.5" hidden="false" customHeight="true" outlineLevel="0" collapsed="false">
      <c r="A59" s="18" t="s">
        <v>594</v>
      </c>
      <c r="B59" s="36" t="n">
        <v>100</v>
      </c>
      <c r="C59" s="36" t="n">
        <v>0</v>
      </c>
      <c r="D59" s="45" t="n">
        <f aca="false">IFERROR(C59/B59,0)</f>
        <v>0</v>
      </c>
    </row>
    <row r="60" customFormat="false" ht="19.5" hidden="false" customHeight="true" outlineLevel="0" collapsed="false">
      <c r="A60" s="18" t="s">
        <v>551</v>
      </c>
      <c r="B60" s="36" t="n">
        <v>18000</v>
      </c>
      <c r="C60" s="36" t="n">
        <v>0</v>
      </c>
      <c r="D60" s="45" t="n">
        <f aca="false">IFERROR(C60/B60,0)</f>
        <v>0</v>
      </c>
    </row>
    <row r="61" customFormat="false" ht="19.5" hidden="false" customHeight="true" outlineLevel="0" collapsed="false">
      <c r="A61" s="18" t="s">
        <v>595</v>
      </c>
      <c r="B61" s="36" t="n">
        <v>5000</v>
      </c>
      <c r="C61" s="36" t="n">
        <v>0</v>
      </c>
      <c r="D61" s="45" t="n">
        <f aca="false">IFERROR(C61/B61,0)</f>
        <v>0</v>
      </c>
    </row>
    <row r="62" customFormat="false" ht="15.75" hidden="false" customHeight="true" outlineLevel="0" collapsed="false">
      <c r="A62" s="26" t="s">
        <v>596</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A1:F1"/>
    <mergeCell ref="A2:F2"/>
    <mergeCell ref="A4:D4"/>
    <mergeCell ref="A12:F12"/>
    <mergeCell ref="A29:D29"/>
    <mergeCell ref="A39:E39"/>
    <mergeCell ref="A53:E53"/>
    <mergeCell ref="A56:D56"/>
  </mergeCells>
  <conditionalFormatting sqref="E41:E52">
    <cfRule type="cellIs" priority="2" operator="greaterThanOrEqual" aboveAverage="0" equalAverage="0" bottom="0" percent="0" rank="0" text="" dxfId="0">
      <formula>0</formula>
    </cfRule>
    <cfRule type="cellIs" priority="3"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E6" activeCellId="0" sqref="E6"/>
    </sheetView>
  </sheetViews>
  <sheetFormatPr defaultColWidth="14.43359375" defaultRowHeight="15" zeroHeight="false" outlineLevelRow="0" outlineLevelCol="0"/>
  <cols>
    <col collapsed="false" customWidth="true" hidden="false" outlineLevel="0" max="1" min="1" style="1" width="4"/>
    <col collapsed="false" customWidth="true" hidden="false" outlineLevel="0" max="2" min="2" style="1" width="12"/>
    <col collapsed="false" customWidth="true" hidden="false" outlineLevel="0" max="3" min="3" style="1" width="26"/>
    <col collapsed="false" customWidth="true" hidden="false" outlineLevel="0" max="4" min="4" style="1" width="8"/>
    <col collapsed="false" customWidth="true" hidden="false" outlineLevel="0" max="6" min="5" style="1" width="11"/>
    <col collapsed="false" customWidth="true" hidden="false" outlineLevel="0" max="7" min="7" style="1" width="9"/>
    <col collapsed="false" customWidth="true" hidden="false" outlineLevel="0" max="9" min="8" style="1" width="11"/>
    <col collapsed="false" customWidth="true" hidden="false" outlineLevel="0" max="10" min="10" style="1" width="9"/>
    <col collapsed="false" customWidth="true" hidden="false" outlineLevel="0" max="11" min="11" style="1" width="8"/>
    <col collapsed="false" customWidth="true" hidden="false" outlineLevel="0" max="12" min="12" style="1" width="10"/>
    <col collapsed="false" customWidth="true" hidden="false" outlineLevel="0" max="13" min="13" style="1" width="9"/>
    <col collapsed="false" customWidth="true" hidden="false" outlineLevel="0" max="14" min="14" style="1" width="14"/>
    <col collapsed="false" customWidth="true" hidden="false" outlineLevel="0" max="26" min="15" style="1" width="5.57"/>
  </cols>
  <sheetData>
    <row r="1" customFormat="false" ht="27.75" hidden="false" customHeight="true" outlineLevel="0" collapsed="false">
      <c r="A1" s="13" t="s">
        <v>597</v>
      </c>
      <c r="B1" s="13"/>
      <c r="C1" s="13"/>
      <c r="D1" s="13"/>
      <c r="E1" s="13"/>
      <c r="F1" s="13"/>
      <c r="G1" s="13"/>
      <c r="H1" s="13"/>
      <c r="I1" s="13"/>
      <c r="J1" s="13"/>
      <c r="K1" s="13"/>
      <c r="L1" s="13"/>
      <c r="M1" s="13"/>
      <c r="N1" s="13"/>
      <c r="O1" s="13"/>
      <c r="P1" s="13"/>
      <c r="Q1" s="13"/>
      <c r="R1" s="13"/>
      <c r="S1" s="13"/>
      <c r="T1" s="13"/>
      <c r="U1" s="13"/>
      <c r="V1" s="13"/>
      <c r="W1" s="13"/>
      <c r="X1" s="13"/>
      <c r="Y1" s="13"/>
      <c r="Z1" s="13"/>
    </row>
    <row r="2" customFormat="false" ht="13.5" hidden="false" customHeight="true" outlineLevel="0" collapsed="false">
      <c r="A2" s="29" t="s">
        <v>598</v>
      </c>
      <c r="B2" s="29"/>
      <c r="C2" s="29"/>
      <c r="D2" s="29"/>
      <c r="E2" s="29"/>
      <c r="F2" s="29"/>
      <c r="G2" s="29"/>
      <c r="H2" s="29"/>
      <c r="I2" s="29"/>
      <c r="J2" s="29"/>
      <c r="K2" s="29"/>
      <c r="L2" s="29"/>
      <c r="M2" s="29"/>
      <c r="N2" s="29"/>
      <c r="O2" s="29"/>
      <c r="P2" s="29"/>
      <c r="Q2" s="29"/>
      <c r="R2" s="29"/>
      <c r="S2" s="29"/>
      <c r="T2" s="29"/>
      <c r="U2" s="29"/>
      <c r="V2" s="29"/>
      <c r="W2" s="29"/>
      <c r="X2" s="29"/>
      <c r="Y2" s="29"/>
      <c r="Z2" s="29"/>
    </row>
    <row r="3" customFormat="false" ht="15" hidden="false" customHeight="true" outlineLevel="0" collapsed="false">
      <c r="A3" s="46" t="s">
        <v>599</v>
      </c>
      <c r="B3" s="47" t="n">
        <v>46204</v>
      </c>
      <c r="C3" s="47"/>
    </row>
    <row r="4" customFormat="false" ht="15" hidden="false" customHeight="true" outlineLevel="0" collapsed="false"/>
    <row r="5" customFormat="false" ht="30" hidden="false" customHeight="true" outlineLevel="0" collapsed="false">
      <c r="A5" s="14" t="s">
        <v>45</v>
      </c>
      <c r="B5" s="15" t="s">
        <v>600</v>
      </c>
      <c r="C5" s="15" t="s">
        <v>601</v>
      </c>
      <c r="D5" s="15" t="s">
        <v>51</v>
      </c>
      <c r="E5" s="15" t="s">
        <v>602</v>
      </c>
      <c r="F5" s="15" t="s">
        <v>603</v>
      </c>
      <c r="G5" s="15" t="s">
        <v>604</v>
      </c>
      <c r="H5" s="15" t="s">
        <v>605</v>
      </c>
      <c r="I5" s="15" t="s">
        <v>606</v>
      </c>
      <c r="J5" s="15" t="s">
        <v>607</v>
      </c>
      <c r="K5" s="15" t="s">
        <v>608</v>
      </c>
      <c r="L5" s="15" t="s">
        <v>50</v>
      </c>
      <c r="M5" s="15" t="s">
        <v>609</v>
      </c>
      <c r="N5" s="15" t="s">
        <v>53</v>
      </c>
      <c r="O5" s="48" t="n">
        <f aca="false">EDATE($B$3,0)</f>
        <v>46204</v>
      </c>
      <c r="P5" s="48" t="n">
        <f aca="false">EDATE($B$3,1)</f>
        <v>46235</v>
      </c>
      <c r="Q5" s="48" t="n">
        <f aca="false">EDATE($B$3,2)</f>
        <v>46266</v>
      </c>
      <c r="R5" s="48" t="n">
        <f aca="false">EDATE($B$3,3)</f>
        <v>46296</v>
      </c>
      <c r="S5" s="48" t="n">
        <f aca="false">EDATE($B$3,4)</f>
        <v>46327</v>
      </c>
      <c r="T5" s="48" t="n">
        <f aca="false">EDATE($B$3,5)</f>
        <v>46357</v>
      </c>
      <c r="U5" s="48" t="n">
        <f aca="false">EDATE($B$3,6)</f>
        <v>46388</v>
      </c>
      <c r="V5" s="48" t="n">
        <f aca="false">EDATE($B$3,7)</f>
        <v>46419</v>
      </c>
      <c r="W5" s="48" t="n">
        <f aca="false">EDATE($B$3,8)</f>
        <v>46447</v>
      </c>
      <c r="X5" s="48" t="n">
        <f aca="false">EDATE($B$3,9)</f>
        <v>46478</v>
      </c>
      <c r="Y5" s="48" t="n">
        <f aca="false">EDATE($B$3,10)</f>
        <v>46508</v>
      </c>
      <c r="Z5" s="48" t="n">
        <f aca="false">EDATE($B$3,11)</f>
        <v>46539</v>
      </c>
    </row>
    <row r="6" customFormat="false" ht="19.5" hidden="false" customHeight="true" outlineLevel="0" collapsed="false">
      <c r="A6" s="17" t="n">
        <v>1</v>
      </c>
      <c r="B6" s="30" t="s">
        <v>610</v>
      </c>
      <c r="C6" s="49" t="s">
        <v>611</v>
      </c>
      <c r="D6" s="30" t="s">
        <v>59</v>
      </c>
      <c r="E6" s="50" t="n">
        <f aca="false">$B$3+0</f>
        <v>46204</v>
      </c>
      <c r="F6" s="50" t="n">
        <f aca="false">$B$3+3</f>
        <v>46207</v>
      </c>
      <c r="G6" s="17" t="n">
        <f aca="false">F6-E6+1</f>
        <v>4</v>
      </c>
      <c r="H6" s="50" t="n">
        <f aca="false">E6</f>
        <v>46204</v>
      </c>
      <c r="I6" s="50" t="n">
        <f aca="false">F6</f>
        <v>46207</v>
      </c>
      <c r="J6" s="17" t="n">
        <f aca="false">IF(AND(H6&lt;&gt;"",I6&lt;&gt;""),I6-H6+1,"")</f>
        <v>4</v>
      </c>
      <c r="K6" s="51" t="n">
        <v>1</v>
      </c>
      <c r="L6" s="30" t="s">
        <v>612</v>
      </c>
      <c r="M6" s="52" t="n">
        <f aca="true">IF(I6&lt;&gt;"",MAX(I6-F6,0),IF(AND(L6&lt;&gt;"完了",TODAY()&gt;F6),TODAY()-F6,0))</f>
        <v>0</v>
      </c>
      <c r="N6" s="31"/>
      <c r="O6" s="53"/>
      <c r="P6" s="53"/>
      <c r="Q6" s="53"/>
      <c r="R6" s="53"/>
      <c r="S6" s="53"/>
      <c r="T6" s="53"/>
      <c r="U6" s="53"/>
      <c r="V6" s="53"/>
      <c r="W6" s="53"/>
      <c r="X6" s="53"/>
      <c r="Y6" s="53"/>
      <c r="Z6" s="53"/>
    </row>
    <row r="7" customFormat="false" ht="19.5" hidden="false" customHeight="true" outlineLevel="0" collapsed="false">
      <c r="A7" s="17" t="n">
        <v>2</v>
      </c>
      <c r="B7" s="30" t="s">
        <v>613</v>
      </c>
      <c r="C7" s="49" t="s">
        <v>614</v>
      </c>
      <c r="D7" s="30" t="s">
        <v>59</v>
      </c>
      <c r="E7" s="50" t="n">
        <f aca="false">$B$3+4</f>
        <v>46208</v>
      </c>
      <c r="F7" s="50" t="n">
        <f aca="false">$B$3+10</f>
        <v>46214</v>
      </c>
      <c r="G7" s="17" t="n">
        <f aca="false">F7-E7+1</f>
        <v>7</v>
      </c>
      <c r="H7" s="50" t="n">
        <f aca="false">E7</f>
        <v>46208</v>
      </c>
      <c r="I7" s="50" t="n">
        <f aca="false">F7</f>
        <v>46214</v>
      </c>
      <c r="J7" s="17" t="n">
        <f aca="false">IF(AND(H7&lt;&gt;"",I7&lt;&gt;""),I7-H7+1,"")</f>
        <v>7</v>
      </c>
      <c r="K7" s="51" t="n">
        <v>1</v>
      </c>
      <c r="L7" s="30" t="s">
        <v>612</v>
      </c>
      <c r="M7" s="52" t="n">
        <f aca="true">IF(I7&lt;&gt;"",MAX(I7-F7,0),IF(AND(L7&lt;&gt;"完了",TODAY()&gt;F7),TODAY()-F7,0))</f>
        <v>0</v>
      </c>
      <c r="N7" s="31"/>
      <c r="O7" s="53"/>
      <c r="P7" s="53"/>
      <c r="Q7" s="53"/>
      <c r="R7" s="53"/>
      <c r="S7" s="53"/>
      <c r="T7" s="53"/>
      <c r="U7" s="53"/>
      <c r="V7" s="53"/>
      <c r="W7" s="53"/>
      <c r="X7" s="53"/>
      <c r="Y7" s="53"/>
      <c r="Z7" s="53"/>
    </row>
    <row r="8" customFormat="false" ht="19.5" hidden="false" customHeight="true" outlineLevel="0" collapsed="false">
      <c r="A8" s="17" t="n">
        <v>3</v>
      </c>
      <c r="B8" s="30" t="s">
        <v>615</v>
      </c>
      <c r="C8" s="49" t="s">
        <v>616</v>
      </c>
      <c r="D8" s="30" t="s">
        <v>59</v>
      </c>
      <c r="E8" s="50" t="n">
        <f aca="false">$B$3+11</f>
        <v>46215</v>
      </c>
      <c r="F8" s="50" t="n">
        <f aca="false">$B$3+17</f>
        <v>46221</v>
      </c>
      <c r="G8" s="17" t="n">
        <f aca="false">F8-E8+1</f>
        <v>7</v>
      </c>
      <c r="H8" s="50" t="n">
        <f aca="false">E8</f>
        <v>46215</v>
      </c>
      <c r="I8" s="50" t="n">
        <f aca="false">F8</f>
        <v>46221</v>
      </c>
      <c r="J8" s="17" t="n">
        <f aca="false">IF(AND(H8&lt;&gt;"",I8&lt;&gt;""),I8-H8+1,"")</f>
        <v>7</v>
      </c>
      <c r="K8" s="51" t="n">
        <v>1</v>
      </c>
      <c r="L8" s="30" t="s">
        <v>612</v>
      </c>
      <c r="M8" s="52" t="n">
        <f aca="true">IF(I8&lt;&gt;"",MAX(I8-F8,0),IF(AND(L8&lt;&gt;"完了",TODAY()&gt;F8),TODAY()-F8,0))</f>
        <v>0</v>
      </c>
      <c r="N8" s="31"/>
      <c r="O8" s="53"/>
      <c r="P8" s="53"/>
      <c r="Q8" s="53"/>
      <c r="R8" s="53"/>
      <c r="S8" s="53"/>
      <c r="T8" s="53"/>
      <c r="U8" s="53"/>
      <c r="V8" s="53"/>
      <c r="W8" s="53"/>
      <c r="X8" s="53"/>
      <c r="Y8" s="53"/>
      <c r="Z8" s="53"/>
    </row>
    <row r="9" customFormat="false" ht="19.5" hidden="false" customHeight="true" outlineLevel="0" collapsed="false">
      <c r="A9" s="17" t="n">
        <v>4</v>
      </c>
      <c r="B9" s="30" t="s">
        <v>617</v>
      </c>
      <c r="C9" s="49" t="s">
        <v>618</v>
      </c>
      <c r="D9" s="31" t="s">
        <v>619</v>
      </c>
      <c r="E9" s="50" t="n">
        <f aca="false">$B$3+18</f>
        <v>46222</v>
      </c>
      <c r="F9" s="50" t="n">
        <f aca="false">$B$3+38</f>
        <v>46242</v>
      </c>
      <c r="G9" s="17" t="n">
        <f aca="false">F9-E9+1</f>
        <v>21</v>
      </c>
      <c r="H9" s="50"/>
      <c r="I9" s="50"/>
      <c r="J9" s="17" t="str">
        <f aca="false">IF(AND(H9&lt;&gt;"",I9&lt;&gt;""),I9-H9+1,"")</f>
        <v/>
      </c>
      <c r="K9" s="51" t="n">
        <v>0.8</v>
      </c>
      <c r="L9" s="30" t="s">
        <v>620</v>
      </c>
      <c r="M9" s="52" t="n">
        <f aca="true">IF(I9&lt;&gt;"",MAX(I9-F9,0),IF(AND(L9&lt;&gt;"完了",TODAY()&gt;F9),TODAY()-F9,0))</f>
        <v>0</v>
      </c>
      <c r="N9" s="31"/>
      <c r="O9" s="53"/>
      <c r="P9" s="53"/>
      <c r="Q9" s="53"/>
      <c r="R9" s="53"/>
      <c r="S9" s="53"/>
      <c r="T9" s="53"/>
      <c r="U9" s="53"/>
      <c r="V9" s="53"/>
      <c r="W9" s="53"/>
      <c r="X9" s="53"/>
      <c r="Y9" s="53"/>
      <c r="Z9" s="53"/>
    </row>
    <row r="10" customFormat="false" ht="19.5" hidden="false" customHeight="true" outlineLevel="0" collapsed="false">
      <c r="A10" s="17" t="n">
        <v>5</v>
      </c>
      <c r="B10" s="30" t="s">
        <v>617</v>
      </c>
      <c r="C10" s="49" t="s">
        <v>621</v>
      </c>
      <c r="D10" s="30" t="s">
        <v>59</v>
      </c>
      <c r="E10" s="50" t="n">
        <f aca="false">$B$3+18</f>
        <v>46222</v>
      </c>
      <c r="F10" s="50" t="n">
        <f aca="false">$B$3+31</f>
        <v>46235</v>
      </c>
      <c r="G10" s="17" t="n">
        <f aca="false">F10-E10+1</f>
        <v>14</v>
      </c>
      <c r="H10" s="50" t="n">
        <f aca="false">E10</f>
        <v>46222</v>
      </c>
      <c r="I10" s="50" t="n">
        <f aca="false">F10</f>
        <v>46235</v>
      </c>
      <c r="J10" s="17" t="n">
        <f aca="false">IF(AND(H10&lt;&gt;"",I10&lt;&gt;""),I10-H10+1,"")</f>
        <v>14</v>
      </c>
      <c r="K10" s="51" t="n">
        <v>1</v>
      </c>
      <c r="L10" s="30" t="s">
        <v>612</v>
      </c>
      <c r="M10" s="52" t="n">
        <f aca="true">IF(I10&lt;&gt;"",MAX(I10-F10,0),IF(AND(L10&lt;&gt;"完了",TODAY()&gt;F10),TODAY()-F10,0))</f>
        <v>0</v>
      </c>
      <c r="N10" s="31"/>
      <c r="O10" s="53"/>
      <c r="P10" s="53"/>
      <c r="Q10" s="53"/>
      <c r="R10" s="53"/>
      <c r="S10" s="53"/>
      <c r="T10" s="53"/>
      <c r="U10" s="53"/>
      <c r="V10" s="53"/>
      <c r="W10" s="53"/>
      <c r="X10" s="53"/>
      <c r="Y10" s="53"/>
      <c r="Z10" s="53"/>
    </row>
    <row r="11" customFormat="false" ht="19.5" hidden="false" customHeight="true" outlineLevel="0" collapsed="false">
      <c r="A11" s="17" t="n">
        <v>6</v>
      </c>
      <c r="B11" s="30" t="s">
        <v>622</v>
      </c>
      <c r="C11" s="54" t="s">
        <v>623</v>
      </c>
      <c r="D11" s="31" t="s">
        <v>619</v>
      </c>
      <c r="E11" s="50" t="n">
        <f aca="false">$B$3+39</f>
        <v>46243</v>
      </c>
      <c r="F11" s="50" t="n">
        <f aca="false">$B$3+52</f>
        <v>46256</v>
      </c>
      <c r="G11" s="17" t="n">
        <f aca="false">F11-E11+1</f>
        <v>14</v>
      </c>
      <c r="H11" s="50"/>
      <c r="I11" s="50"/>
      <c r="J11" s="17" t="str">
        <f aca="false">IF(AND(H11&lt;&gt;"",I11&lt;&gt;""),I11-H11+1,"")</f>
        <v/>
      </c>
      <c r="K11" s="51" t="n">
        <v>0.5</v>
      </c>
      <c r="L11" s="30" t="s">
        <v>620</v>
      </c>
      <c r="M11" s="52" t="n">
        <f aca="true">IF(I11&lt;&gt;"",MAX(I11-F11,0),IF(AND(L11&lt;&gt;"完了",TODAY()&gt;F11),TODAY()-F11,0))</f>
        <v>0</v>
      </c>
      <c r="N11" s="31"/>
      <c r="O11" s="53"/>
      <c r="P11" s="53"/>
      <c r="Q11" s="53"/>
      <c r="R11" s="53"/>
      <c r="S11" s="53"/>
      <c r="T11" s="53"/>
      <c r="U11" s="53"/>
      <c r="V11" s="53"/>
      <c r="W11" s="53"/>
      <c r="X11" s="53"/>
      <c r="Y11" s="53"/>
      <c r="Z11" s="53"/>
    </row>
    <row r="12" customFormat="false" ht="19.5" hidden="false" customHeight="true" outlineLevel="0" collapsed="false">
      <c r="A12" s="17" t="n">
        <v>7</v>
      </c>
      <c r="B12" s="30" t="s">
        <v>624</v>
      </c>
      <c r="C12" s="54" t="s">
        <v>625</v>
      </c>
      <c r="D12" s="55" t="s">
        <v>626</v>
      </c>
      <c r="E12" s="50" t="n">
        <f aca="false">$B$3+53</f>
        <v>46257</v>
      </c>
      <c r="F12" s="50" t="n">
        <f aca="false">$B$3+62</f>
        <v>46266</v>
      </c>
      <c r="G12" s="17" t="n">
        <f aca="false">F12-E12+1</f>
        <v>10</v>
      </c>
      <c r="H12" s="50"/>
      <c r="I12" s="50"/>
      <c r="J12" s="17" t="str">
        <f aca="false">IF(AND(H12&lt;&gt;"",I12&lt;&gt;""),I12-H12+1,"")</f>
        <v/>
      </c>
      <c r="K12" s="51" t="n">
        <v>0</v>
      </c>
      <c r="L12" s="30" t="s">
        <v>397</v>
      </c>
      <c r="M12" s="52" t="n">
        <f aca="true">IF(I12&lt;&gt;"",MAX(I12-F12,0),IF(AND(L12&lt;&gt;"完了",TODAY()&gt;F12),TODAY()-F12,0))</f>
        <v>0</v>
      </c>
      <c r="N12" s="31"/>
      <c r="O12" s="53"/>
      <c r="P12" s="53"/>
      <c r="Q12" s="53"/>
      <c r="R12" s="53"/>
      <c r="S12" s="53"/>
      <c r="T12" s="53"/>
      <c r="U12" s="53"/>
      <c r="V12" s="53"/>
      <c r="W12" s="53"/>
      <c r="X12" s="53"/>
      <c r="Y12" s="53"/>
      <c r="Z12" s="53"/>
    </row>
    <row r="13" customFormat="false" ht="19.5" hidden="false" customHeight="true" outlineLevel="0" collapsed="false">
      <c r="A13" s="17" t="n">
        <v>8</v>
      </c>
      <c r="B13" s="30" t="s">
        <v>627</v>
      </c>
      <c r="C13" s="49" t="s">
        <v>628</v>
      </c>
      <c r="D13" s="30" t="s">
        <v>59</v>
      </c>
      <c r="E13" s="50" t="n">
        <f aca="false">$B$3+63</f>
        <v>46267</v>
      </c>
      <c r="F13" s="50" t="n">
        <f aca="false">$B$3+69</f>
        <v>46273</v>
      </c>
      <c r="G13" s="17" t="n">
        <f aca="false">F13-E13+1</f>
        <v>7</v>
      </c>
      <c r="H13" s="50"/>
      <c r="I13" s="50"/>
      <c r="J13" s="17" t="str">
        <f aca="false">IF(AND(H13&lt;&gt;"",I13&lt;&gt;""),I13-H13+1,"")</f>
        <v/>
      </c>
      <c r="K13" s="51" t="n">
        <v>0</v>
      </c>
      <c r="L13" s="30" t="s">
        <v>397</v>
      </c>
      <c r="M13" s="52" t="n">
        <f aca="true">IF(I13&lt;&gt;"",MAX(I13-F13,0),IF(AND(L13&lt;&gt;"完了",TODAY()&gt;F13),TODAY()-F13,0))</f>
        <v>0</v>
      </c>
      <c r="N13" s="31"/>
      <c r="O13" s="53"/>
      <c r="P13" s="53"/>
      <c r="Q13" s="53"/>
      <c r="R13" s="53"/>
      <c r="S13" s="53"/>
      <c r="T13" s="53"/>
      <c r="U13" s="53"/>
      <c r="V13" s="53"/>
      <c r="W13" s="53"/>
      <c r="X13" s="53"/>
      <c r="Y13" s="53"/>
      <c r="Z13" s="53"/>
    </row>
    <row r="14" customFormat="false" ht="19.5" hidden="false" customHeight="true" outlineLevel="0" collapsed="false">
      <c r="A14" s="17" t="n">
        <v>9</v>
      </c>
      <c r="B14" s="30" t="s">
        <v>629</v>
      </c>
      <c r="C14" s="49" t="s">
        <v>630</v>
      </c>
      <c r="D14" s="30" t="s">
        <v>59</v>
      </c>
      <c r="E14" s="50" t="n">
        <f aca="false">$B$3+70</f>
        <v>46274</v>
      </c>
      <c r="F14" s="50" t="n">
        <f aca="false">$B$3+72</f>
        <v>46276</v>
      </c>
      <c r="G14" s="17" t="n">
        <f aca="false">F14-E14+1</f>
        <v>3</v>
      </c>
      <c r="H14" s="50"/>
      <c r="I14" s="50"/>
      <c r="J14" s="17" t="str">
        <f aca="false">IF(AND(H14&lt;&gt;"",I14&lt;&gt;""),I14-H14+1,"")</f>
        <v/>
      </c>
      <c r="K14" s="51" t="n">
        <v>0</v>
      </c>
      <c r="L14" s="30" t="s">
        <v>397</v>
      </c>
      <c r="M14" s="52" t="n">
        <f aca="true">IF(I14&lt;&gt;"",MAX(I14-F14,0),IF(AND(L14&lt;&gt;"完了",TODAY()&gt;F14),TODAY()-F14,0))</f>
        <v>0</v>
      </c>
      <c r="N14" s="31"/>
      <c r="O14" s="53"/>
      <c r="P14" s="53"/>
      <c r="Q14" s="53"/>
      <c r="R14" s="53"/>
      <c r="S14" s="53"/>
      <c r="T14" s="53"/>
      <c r="U14" s="53"/>
      <c r="V14" s="53"/>
      <c r="W14" s="53"/>
      <c r="X14" s="53"/>
      <c r="Y14" s="53"/>
      <c r="Z14" s="53"/>
    </row>
    <row r="15" customFormat="false" ht="19.5" hidden="false" customHeight="true" outlineLevel="0" collapsed="false">
      <c r="A15" s="17" t="n">
        <v>10</v>
      </c>
      <c r="B15" s="30" t="s">
        <v>629</v>
      </c>
      <c r="C15" s="54" t="s">
        <v>631</v>
      </c>
      <c r="D15" s="30" t="s">
        <v>59</v>
      </c>
      <c r="E15" s="50" t="n">
        <f aca="false">$B$3+73</f>
        <v>46277</v>
      </c>
      <c r="F15" s="50" t="n">
        <f aca="false">$B$3+73</f>
        <v>46277</v>
      </c>
      <c r="G15" s="17" t="n">
        <f aca="false">F15-E15+1</f>
        <v>1</v>
      </c>
      <c r="H15" s="50"/>
      <c r="I15" s="50"/>
      <c r="J15" s="17" t="str">
        <f aca="false">IF(AND(H15&lt;&gt;"",I15&lt;&gt;""),I15-H15+1,"")</f>
        <v/>
      </c>
      <c r="K15" s="51" t="n">
        <v>0</v>
      </c>
      <c r="L15" s="30" t="s">
        <v>397</v>
      </c>
      <c r="M15" s="52" t="n">
        <f aca="true">IF(I15&lt;&gt;"",MAX(I15-F15,0),IF(AND(L15&lt;&gt;"完了",TODAY()&gt;F15),TODAY()-F15,0))</f>
        <v>0</v>
      </c>
      <c r="N15" s="31"/>
      <c r="O15" s="53"/>
      <c r="P15" s="53"/>
      <c r="Q15" s="53"/>
      <c r="R15" s="53"/>
      <c r="S15" s="53"/>
      <c r="T15" s="53"/>
      <c r="U15" s="53"/>
      <c r="V15" s="53"/>
      <c r="W15" s="53"/>
      <c r="X15" s="53"/>
      <c r="Y15" s="53"/>
      <c r="Z15" s="53"/>
    </row>
    <row r="16" customFormat="false" ht="19.5" hidden="false" customHeight="true" outlineLevel="0" collapsed="false">
      <c r="A16" s="17" t="n">
        <v>11</v>
      </c>
      <c r="B16" s="30" t="s">
        <v>632</v>
      </c>
      <c r="C16" s="49" t="s">
        <v>633</v>
      </c>
      <c r="D16" s="30" t="s">
        <v>59</v>
      </c>
      <c r="E16" s="50" t="n">
        <f aca="false">$B$3+74</f>
        <v>46278</v>
      </c>
      <c r="F16" s="50" t="n">
        <f aca="false">$B$3+95</f>
        <v>46299</v>
      </c>
      <c r="G16" s="17" t="n">
        <f aca="false">F16-E16+1</f>
        <v>22</v>
      </c>
      <c r="H16" s="50"/>
      <c r="I16" s="50"/>
      <c r="J16" s="17" t="str">
        <f aca="false">IF(AND(H16&lt;&gt;"",I16&lt;&gt;""),I16-H16+1,"")</f>
        <v/>
      </c>
      <c r="K16" s="51" t="n">
        <v>0</v>
      </c>
      <c r="L16" s="30" t="s">
        <v>397</v>
      </c>
      <c r="M16" s="52" t="n">
        <f aca="true">IF(I16&lt;&gt;"",MAX(I16-F16,0),IF(AND(L16&lt;&gt;"完了",TODAY()&gt;F16),TODAY()-F16,0))</f>
        <v>0</v>
      </c>
      <c r="N16" s="31"/>
      <c r="O16" s="53"/>
      <c r="P16" s="53"/>
      <c r="Q16" s="53"/>
      <c r="R16" s="53"/>
      <c r="S16" s="53"/>
      <c r="T16" s="53"/>
      <c r="U16" s="53"/>
      <c r="V16" s="53"/>
      <c r="W16" s="53"/>
      <c r="X16" s="53"/>
      <c r="Y16" s="53"/>
      <c r="Z16" s="53"/>
    </row>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Z1"/>
    <mergeCell ref="A2:Z2"/>
    <mergeCell ref="B3:C3"/>
  </mergeCells>
  <conditionalFormatting sqref="L6:L16">
    <cfRule type="cellIs" priority="2" operator="equal" aboveAverage="0" equalAverage="0" bottom="0" percent="0" rank="0" text="" dxfId="0">
      <formula>"完了"</formula>
    </cfRule>
    <cfRule type="cellIs" priority="3" operator="equal" aboveAverage="0" equalAverage="0" bottom="0" percent="0" rank="0" text="" dxfId="2">
      <formula>"遅延"</formula>
    </cfRule>
  </conditionalFormatting>
  <conditionalFormatting sqref="M6:M16">
    <cfRule type="cellIs" priority="4" operator="greaterThan" aboveAverage="0" equalAverage="0" bottom="0" percent="0" rank="0" text="" dxfId="2">
      <formula>0</formula>
    </cfRule>
  </conditionalFormatting>
  <conditionalFormatting sqref="O6:Z16">
    <cfRule type="expression" priority="5" aboveAverage="0" equalAverage="0" bottom="0" percent="0" rank="0" text="" dxfId="3">
      <formula>AND($H6&lt;&gt;"",$I6&lt;&gt;"",$H6&lt;=EOMONTH(O$5,0),$I6&gt;=O$5)</formula>
    </cfRule>
    <cfRule type="expression" priority="6" aboveAverage="0" equalAverage="0" bottom="0" percent="0" rank="0" text="" dxfId="4">
      <formula>AND($E6&lt;&gt;"",$F6&lt;&gt;"",$E6&lt;=EOMONTH(O$5,0),$F6&gt;=O$5)</formula>
    </cfRule>
  </conditionalFormatting>
  <dataValidations count="1">
    <dataValidation allowBlank="true" errorStyle="stop" operator="between" showDropDown="false" showErrorMessage="false" showInputMessage="false" sqref="L6:L16" type="list">
      <formula1>"未着手,進行中,完了,遅延,保留"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0"/>
    <col collapsed="false" customWidth="true" hidden="false" outlineLevel="0" max="2" min="2" style="1" width="9"/>
    <col collapsed="false" customWidth="true" hidden="false" outlineLevel="0" max="4" min="3" style="1" width="16"/>
    <col collapsed="false" customWidth="true" hidden="false" outlineLevel="0" max="5" min="5" style="1" width="14"/>
    <col collapsed="false" customWidth="true" hidden="false" outlineLevel="0" max="6" min="6" style="1" width="12"/>
    <col collapsed="false" customWidth="true" hidden="false" outlineLevel="0" max="8" min="7" style="1" width="14"/>
    <col collapsed="false" customWidth="true" hidden="false" outlineLevel="0" max="26" min="9" style="1" width="8.71"/>
  </cols>
  <sheetData>
    <row r="1" customFormat="false" ht="27.75" hidden="false" customHeight="true" outlineLevel="0" collapsed="false">
      <c r="A1" s="13" t="s">
        <v>634</v>
      </c>
      <c r="B1" s="13"/>
      <c r="C1" s="13"/>
      <c r="D1" s="13"/>
      <c r="E1" s="13"/>
      <c r="F1" s="13"/>
      <c r="G1" s="13"/>
    </row>
    <row r="2" customFormat="false" ht="15" hidden="false" customHeight="true" outlineLevel="0" collapsed="false">
      <c r="A2" s="29" t="s">
        <v>635</v>
      </c>
      <c r="B2" s="29"/>
      <c r="C2" s="29"/>
      <c r="D2" s="29"/>
      <c r="E2" s="29"/>
      <c r="F2" s="29"/>
      <c r="G2" s="29"/>
    </row>
    <row r="3" customFormat="false" ht="15" hidden="false" customHeight="true" outlineLevel="0" collapsed="false"/>
    <row r="4" customFormat="false" ht="21.75" hidden="false" customHeight="true" outlineLevel="0" collapsed="false">
      <c r="A4" s="24" t="s">
        <v>636</v>
      </c>
      <c r="B4" s="24"/>
      <c r="C4" s="24"/>
      <c r="D4" s="24"/>
      <c r="E4" s="24"/>
      <c r="F4" s="24"/>
    </row>
    <row r="5" customFormat="false" ht="19.5" hidden="false" customHeight="true" outlineLevel="0" collapsed="false">
      <c r="A5" s="15" t="s">
        <v>568</v>
      </c>
      <c r="B5" s="15" t="s">
        <v>168</v>
      </c>
      <c r="C5" s="15" t="s">
        <v>637</v>
      </c>
      <c r="D5" s="15" t="s">
        <v>638</v>
      </c>
      <c r="E5" s="15" t="s">
        <v>639</v>
      </c>
      <c r="F5" s="15" t="s">
        <v>640</v>
      </c>
    </row>
    <row r="6" customFormat="false" ht="19.5" hidden="false" customHeight="true" outlineLevel="0" collapsed="false">
      <c r="A6" s="30" t="s">
        <v>641</v>
      </c>
      <c r="B6" s="20" t="s">
        <v>642</v>
      </c>
      <c r="C6" s="37" t="n">
        <v>15000</v>
      </c>
      <c r="D6" s="37" t="n">
        <v>0</v>
      </c>
      <c r="E6" s="56" t="n">
        <f aca="false">D6-C6</f>
        <v>-15000</v>
      </c>
      <c r="F6" s="57" t="n">
        <f aca="false">IFERROR((D6-C6)/C6,0)</f>
        <v>-1</v>
      </c>
    </row>
    <row r="7" customFormat="false" ht="19.5" hidden="false" customHeight="true" outlineLevel="0" collapsed="false">
      <c r="A7" s="30" t="s">
        <v>643</v>
      </c>
      <c r="B7" s="20" t="s">
        <v>642</v>
      </c>
      <c r="C7" s="37" t="n">
        <v>5000</v>
      </c>
      <c r="D7" s="37" t="n">
        <v>0</v>
      </c>
      <c r="E7" s="56" t="n">
        <f aca="false">D7-C7</f>
        <v>-5000</v>
      </c>
      <c r="F7" s="57" t="n">
        <f aca="false">IFERROR((D7-C7)/C7,0)</f>
        <v>-1</v>
      </c>
    </row>
    <row r="8" customFormat="false" ht="19.5" hidden="false" customHeight="true" outlineLevel="0" collapsed="false">
      <c r="A8" s="30" t="s">
        <v>570</v>
      </c>
      <c r="B8" s="20" t="s">
        <v>644</v>
      </c>
      <c r="C8" s="37" t="n">
        <v>0</v>
      </c>
      <c r="D8" s="37" t="n">
        <v>0</v>
      </c>
      <c r="E8" s="56" t="n">
        <f aca="false">D8-C8</f>
        <v>0</v>
      </c>
      <c r="F8" s="57" t="n">
        <f aca="false">IFERROR((D8-C8)/C8,0)</f>
        <v>0</v>
      </c>
    </row>
    <row r="9" customFormat="false" ht="19.5" hidden="false" customHeight="true" outlineLevel="0" collapsed="false">
      <c r="A9" s="30" t="s">
        <v>576</v>
      </c>
      <c r="B9" s="20" t="s">
        <v>644</v>
      </c>
      <c r="C9" s="37" t="n">
        <v>6600</v>
      </c>
      <c r="D9" s="37" t="n">
        <v>0</v>
      </c>
      <c r="E9" s="56" t="n">
        <f aca="false">D9-C9</f>
        <v>-6600</v>
      </c>
      <c r="F9" s="57" t="n">
        <f aca="false">IFERROR((D9-C9)/C9,0)</f>
        <v>-1</v>
      </c>
    </row>
    <row r="10" customFormat="false" ht="19.5" hidden="false" customHeight="true" outlineLevel="0" collapsed="false">
      <c r="A10" s="30" t="s">
        <v>578</v>
      </c>
      <c r="B10" s="20" t="s">
        <v>644</v>
      </c>
      <c r="C10" s="37" t="n">
        <v>0</v>
      </c>
      <c r="D10" s="37" t="n">
        <v>0</v>
      </c>
      <c r="E10" s="56" t="n">
        <f aca="false">D10-C10</f>
        <v>0</v>
      </c>
      <c r="F10" s="57" t="n">
        <f aca="false">IFERROR((D10-C10)/C10,0)</f>
        <v>0</v>
      </c>
    </row>
    <row r="11" customFormat="false" ht="19.5" hidden="false" customHeight="true" outlineLevel="0" collapsed="false">
      <c r="A11" s="30" t="s">
        <v>573</v>
      </c>
      <c r="B11" s="20" t="s">
        <v>644</v>
      </c>
      <c r="C11" s="37" t="n">
        <v>0</v>
      </c>
      <c r="D11" s="37" t="n">
        <v>0</v>
      </c>
      <c r="E11" s="56" t="n">
        <f aca="false">D11-C11</f>
        <v>0</v>
      </c>
      <c r="F11" s="57" t="n">
        <f aca="false">IFERROR((D11-C11)/C11,0)</f>
        <v>0</v>
      </c>
    </row>
    <row r="12" customFormat="false" ht="19.5" hidden="false" customHeight="true" outlineLevel="0" collapsed="false">
      <c r="A12" s="30" t="s">
        <v>645</v>
      </c>
      <c r="B12" s="20" t="s">
        <v>644</v>
      </c>
      <c r="C12" s="37" t="n">
        <v>2000</v>
      </c>
      <c r="D12" s="37" t="n">
        <v>0</v>
      </c>
      <c r="E12" s="56" t="n">
        <f aca="false">D12-C12</f>
        <v>-2000</v>
      </c>
      <c r="F12" s="57" t="n">
        <f aca="false">IFERROR((D12-C12)/C12,0)</f>
        <v>-1</v>
      </c>
    </row>
    <row r="13" customFormat="false" ht="15" hidden="false" customHeight="true" outlineLevel="0" collapsed="false">
      <c r="A13" s="40" t="s">
        <v>646</v>
      </c>
      <c r="B13" s="40" t="s">
        <v>642</v>
      </c>
      <c r="C13" s="42" t="n">
        <f aca="false">SUMIF(B6:B12,"収入",C6:C12)</f>
        <v>20000</v>
      </c>
      <c r="D13" s="42" t="n">
        <f aca="false">SUMIF(B6:B12,"収入",D6:D12)</f>
        <v>0</v>
      </c>
      <c r="E13" s="58" t="n">
        <f aca="false">D13-C13</f>
        <v>-20000</v>
      </c>
      <c r="F13" s="59" t="n">
        <f aca="false">IFERROR((D13-C13)/C13,0)</f>
        <v>-1</v>
      </c>
    </row>
    <row r="14" customFormat="false" ht="15" hidden="false" customHeight="true" outlineLevel="0" collapsed="false">
      <c r="A14" s="40" t="s">
        <v>647</v>
      </c>
      <c r="B14" s="40" t="s">
        <v>644</v>
      </c>
      <c r="C14" s="42" t="n">
        <f aca="false">SUMIF(B6:B12,"支出",C6:C12)</f>
        <v>8600</v>
      </c>
      <c r="D14" s="42" t="n">
        <f aca="false">SUMIF(B6:B12,"支出",D6:D12)</f>
        <v>0</v>
      </c>
      <c r="E14" s="58" t="n">
        <f aca="false">D14-C14</f>
        <v>-8600</v>
      </c>
      <c r="F14" s="59" t="n">
        <f aca="false">IFERROR((D14-C14)/C14,0)</f>
        <v>-1</v>
      </c>
    </row>
    <row r="15" customFormat="false" ht="15" hidden="false" customHeight="true" outlineLevel="0" collapsed="false">
      <c r="A15" s="60" t="s">
        <v>648</v>
      </c>
      <c r="B15" s="61"/>
      <c r="C15" s="62" t="n">
        <f aca="false">C13-C14</f>
        <v>11400</v>
      </c>
      <c r="D15" s="62" t="n">
        <f aca="false">D13-D14</f>
        <v>0</v>
      </c>
      <c r="E15" s="62" t="n">
        <f aca="false">E13-E14</f>
        <v>-11400</v>
      </c>
      <c r="F15" s="61"/>
    </row>
    <row r="16" customFormat="false" ht="15" hidden="false" customHeight="true" outlineLevel="0" collapsed="false"/>
    <row r="17" customFormat="false" ht="15" hidden="false" customHeight="true" outlineLevel="0" collapsed="false"/>
    <row r="18" customFormat="false" ht="21.75" hidden="false" customHeight="true" outlineLevel="0" collapsed="false">
      <c r="A18" s="24" t="s">
        <v>649</v>
      </c>
      <c r="B18" s="24"/>
      <c r="C18" s="24"/>
      <c r="D18" s="24"/>
      <c r="E18" s="24"/>
      <c r="F18" s="24"/>
      <c r="G18" s="24"/>
      <c r="H18" s="24"/>
    </row>
    <row r="19" customFormat="false" ht="23.25" hidden="false" customHeight="true" outlineLevel="0" collapsed="false">
      <c r="A19" s="46" t="s">
        <v>650</v>
      </c>
      <c r="B19" s="47" t="n">
        <v>46204</v>
      </c>
    </row>
    <row r="20" customFormat="false" ht="15" hidden="false" customHeight="true" outlineLevel="0" collapsed="false"/>
    <row r="21" customFormat="false" ht="19.5" hidden="false" customHeight="true" outlineLevel="0" collapsed="false">
      <c r="A21" s="15" t="s">
        <v>548</v>
      </c>
      <c r="B21" s="15" t="s">
        <v>651</v>
      </c>
      <c r="C21" s="15" t="s">
        <v>652</v>
      </c>
      <c r="D21" s="15" t="s">
        <v>653</v>
      </c>
      <c r="E21" s="15" t="s">
        <v>654</v>
      </c>
      <c r="F21" s="15" t="s">
        <v>655</v>
      </c>
      <c r="G21" s="15" t="s">
        <v>656</v>
      </c>
      <c r="H21" s="15" t="s">
        <v>657</v>
      </c>
    </row>
    <row r="22" customFormat="false" ht="18" hidden="false" customHeight="true" outlineLevel="0" collapsed="false">
      <c r="A22" s="63" t="n">
        <f aca="false">EDATE($B$19,0)</f>
        <v>46204</v>
      </c>
      <c r="B22" s="37" t="n">
        <v>0</v>
      </c>
      <c r="C22" s="37" t="n">
        <v>0</v>
      </c>
      <c r="D22" s="37" t="n">
        <v>2000</v>
      </c>
      <c r="E22" s="37" t="n">
        <v>0</v>
      </c>
      <c r="F22" s="56" t="n">
        <f aca="false">B22-D22</f>
        <v>-2000</v>
      </c>
      <c r="G22" s="56" t="n">
        <f aca="false">C22-E22</f>
        <v>0</v>
      </c>
      <c r="H22" s="56" t="n">
        <f aca="false">G22-F22</f>
        <v>2000</v>
      </c>
    </row>
    <row r="23" customFormat="false" ht="18" hidden="false" customHeight="true" outlineLevel="0" collapsed="false">
      <c r="A23" s="63" t="n">
        <f aca="false">EDATE($B$19,1)</f>
        <v>46235</v>
      </c>
      <c r="B23" s="37" t="n">
        <v>0</v>
      </c>
      <c r="C23" s="37" t="n">
        <v>0</v>
      </c>
      <c r="D23" s="37" t="n">
        <v>600</v>
      </c>
      <c r="E23" s="37" t="n">
        <v>0</v>
      </c>
      <c r="F23" s="56" t="n">
        <f aca="false">B23-D23</f>
        <v>-600</v>
      </c>
      <c r="G23" s="56" t="n">
        <f aca="false">C23-E23</f>
        <v>0</v>
      </c>
      <c r="H23" s="56" t="n">
        <f aca="false">G23-F23</f>
        <v>600</v>
      </c>
    </row>
    <row r="24" customFormat="false" ht="18" hidden="false" customHeight="true" outlineLevel="0" collapsed="false">
      <c r="A24" s="63" t="n">
        <f aca="false">EDATE($B$19,2)</f>
        <v>46266</v>
      </c>
      <c r="B24" s="37" t="n">
        <v>500</v>
      </c>
      <c r="C24" s="37" t="n">
        <v>0</v>
      </c>
      <c r="D24" s="37" t="n">
        <v>600</v>
      </c>
      <c r="E24" s="37" t="n">
        <v>0</v>
      </c>
      <c r="F24" s="56" t="n">
        <f aca="false">B24-D24</f>
        <v>-100</v>
      </c>
      <c r="G24" s="56" t="n">
        <f aca="false">C24-E24</f>
        <v>0</v>
      </c>
      <c r="H24" s="56" t="n">
        <f aca="false">G24-F24</f>
        <v>100</v>
      </c>
    </row>
    <row r="25" customFormat="false" ht="18" hidden="false" customHeight="true" outlineLevel="0" collapsed="false">
      <c r="A25" s="63" t="n">
        <f aca="false">EDATE($B$19,3)</f>
        <v>46296</v>
      </c>
      <c r="B25" s="37" t="n">
        <v>1000</v>
      </c>
      <c r="C25" s="37" t="n">
        <v>0</v>
      </c>
      <c r="D25" s="37" t="n">
        <v>600</v>
      </c>
      <c r="E25" s="37" t="n">
        <v>0</v>
      </c>
      <c r="F25" s="56" t="n">
        <f aca="false">B25-D25</f>
        <v>400</v>
      </c>
      <c r="G25" s="56" t="n">
        <f aca="false">C25-E25</f>
        <v>0</v>
      </c>
      <c r="H25" s="56" t="n">
        <f aca="false">G25-F25</f>
        <v>-400</v>
      </c>
    </row>
    <row r="26" customFormat="false" ht="18" hidden="false" customHeight="true" outlineLevel="0" collapsed="false">
      <c r="A26" s="63" t="n">
        <f aca="false">EDATE($B$19,4)</f>
        <v>46327</v>
      </c>
      <c r="B26" s="37" t="n">
        <v>1500</v>
      </c>
      <c r="C26" s="37" t="n">
        <v>0</v>
      </c>
      <c r="D26" s="37" t="n">
        <v>600</v>
      </c>
      <c r="E26" s="37" t="n">
        <v>0</v>
      </c>
      <c r="F26" s="56" t="n">
        <f aca="false">B26-D26</f>
        <v>900</v>
      </c>
      <c r="G26" s="56" t="n">
        <f aca="false">C26-E26</f>
        <v>0</v>
      </c>
      <c r="H26" s="56" t="n">
        <f aca="false">G26-F26</f>
        <v>-900</v>
      </c>
    </row>
    <row r="27" customFormat="false" ht="18" hidden="false" customHeight="true" outlineLevel="0" collapsed="false">
      <c r="A27" s="63" t="n">
        <f aca="false">EDATE($B$19,5)</f>
        <v>46357</v>
      </c>
      <c r="B27" s="37" t="n">
        <v>1500</v>
      </c>
      <c r="C27" s="37" t="n">
        <v>0</v>
      </c>
      <c r="D27" s="37" t="n">
        <v>600</v>
      </c>
      <c r="E27" s="37" t="n">
        <v>0</v>
      </c>
      <c r="F27" s="56" t="n">
        <f aca="false">B27-D27</f>
        <v>900</v>
      </c>
      <c r="G27" s="56" t="n">
        <f aca="false">C27-E27</f>
        <v>0</v>
      </c>
      <c r="H27" s="56" t="n">
        <f aca="false">G27-F27</f>
        <v>-900</v>
      </c>
    </row>
    <row r="28" customFormat="false" ht="18" hidden="false" customHeight="true" outlineLevel="0" collapsed="false">
      <c r="A28" s="63" t="n">
        <f aca="false">EDATE($B$19,6)</f>
        <v>46388</v>
      </c>
      <c r="B28" s="37" t="n">
        <v>2000</v>
      </c>
      <c r="C28" s="37" t="n">
        <v>0</v>
      </c>
      <c r="D28" s="37" t="n">
        <v>600</v>
      </c>
      <c r="E28" s="37" t="n">
        <v>0</v>
      </c>
      <c r="F28" s="56" t="n">
        <f aca="false">B28-D28</f>
        <v>1400</v>
      </c>
      <c r="G28" s="56" t="n">
        <f aca="false">C28-E28</f>
        <v>0</v>
      </c>
      <c r="H28" s="56" t="n">
        <f aca="false">G28-F28</f>
        <v>-1400</v>
      </c>
    </row>
    <row r="29" customFormat="false" ht="18" hidden="false" customHeight="true" outlineLevel="0" collapsed="false">
      <c r="A29" s="63" t="n">
        <f aca="false">EDATE($B$19,7)</f>
        <v>46419</v>
      </c>
      <c r="B29" s="37" t="n">
        <v>2500</v>
      </c>
      <c r="C29" s="37" t="n">
        <v>0</v>
      </c>
      <c r="D29" s="37" t="n">
        <v>600</v>
      </c>
      <c r="E29" s="37" t="n">
        <v>0</v>
      </c>
      <c r="F29" s="56" t="n">
        <f aca="false">B29-D29</f>
        <v>1900</v>
      </c>
      <c r="G29" s="56" t="n">
        <f aca="false">C29-E29</f>
        <v>0</v>
      </c>
      <c r="H29" s="56" t="n">
        <f aca="false">G29-F29</f>
        <v>-1900</v>
      </c>
    </row>
    <row r="30" customFormat="false" ht="18" hidden="false" customHeight="true" outlineLevel="0" collapsed="false">
      <c r="A30" s="63" t="n">
        <f aca="false">EDATE($B$19,8)</f>
        <v>46447</v>
      </c>
      <c r="B30" s="37" t="n">
        <v>2500</v>
      </c>
      <c r="C30" s="37" t="n">
        <v>0</v>
      </c>
      <c r="D30" s="37" t="n">
        <v>600</v>
      </c>
      <c r="E30" s="37" t="n">
        <v>0</v>
      </c>
      <c r="F30" s="56" t="n">
        <f aca="false">B30-D30</f>
        <v>1900</v>
      </c>
      <c r="G30" s="56" t="n">
        <f aca="false">C30-E30</f>
        <v>0</v>
      </c>
      <c r="H30" s="56" t="n">
        <f aca="false">G30-F30</f>
        <v>-1900</v>
      </c>
    </row>
    <row r="31" customFormat="false" ht="18" hidden="false" customHeight="true" outlineLevel="0" collapsed="false">
      <c r="A31" s="63" t="n">
        <f aca="false">EDATE($B$19,9)</f>
        <v>46478</v>
      </c>
      <c r="B31" s="37" t="n">
        <v>3000</v>
      </c>
      <c r="C31" s="37" t="n">
        <v>0</v>
      </c>
      <c r="D31" s="37" t="n">
        <v>600</v>
      </c>
      <c r="E31" s="37" t="n">
        <v>0</v>
      </c>
      <c r="F31" s="56" t="n">
        <f aca="false">B31-D31</f>
        <v>2400</v>
      </c>
      <c r="G31" s="56" t="n">
        <f aca="false">C31-E31</f>
        <v>0</v>
      </c>
      <c r="H31" s="56" t="n">
        <f aca="false">G31-F31</f>
        <v>-2400</v>
      </c>
    </row>
    <row r="32" customFormat="false" ht="18" hidden="false" customHeight="true" outlineLevel="0" collapsed="false">
      <c r="A32" s="63" t="n">
        <f aca="false">EDATE($B$19,10)</f>
        <v>46508</v>
      </c>
      <c r="B32" s="37" t="n">
        <v>3000</v>
      </c>
      <c r="C32" s="37" t="n">
        <v>0</v>
      </c>
      <c r="D32" s="37" t="n">
        <v>600</v>
      </c>
      <c r="E32" s="37" t="n">
        <v>0</v>
      </c>
      <c r="F32" s="56" t="n">
        <f aca="false">B32-D32</f>
        <v>2400</v>
      </c>
      <c r="G32" s="56" t="n">
        <f aca="false">C32-E32</f>
        <v>0</v>
      </c>
      <c r="H32" s="56" t="n">
        <f aca="false">G32-F32</f>
        <v>-2400</v>
      </c>
    </row>
    <row r="33" customFormat="false" ht="18" hidden="false" customHeight="true" outlineLevel="0" collapsed="false">
      <c r="A33" s="63" t="n">
        <f aca="false">EDATE($B$19,11)</f>
        <v>46539</v>
      </c>
      <c r="B33" s="37" t="n">
        <v>2500</v>
      </c>
      <c r="C33" s="37" t="n">
        <v>0</v>
      </c>
      <c r="D33" s="37" t="n">
        <v>600</v>
      </c>
      <c r="E33" s="37" t="n">
        <v>0</v>
      </c>
      <c r="F33" s="56" t="n">
        <f aca="false">B33-D33</f>
        <v>1900</v>
      </c>
      <c r="G33" s="56" t="n">
        <f aca="false">C33-E33</f>
        <v>0</v>
      </c>
      <c r="H33" s="56" t="n">
        <f aca="false">G33-F33</f>
        <v>-1900</v>
      </c>
    </row>
    <row r="34" customFormat="false" ht="15" hidden="false" customHeight="true" outlineLevel="0" collapsed="false">
      <c r="A34" s="40" t="s">
        <v>658</v>
      </c>
      <c r="B34" s="58" t="n">
        <f aca="false">SUM(B22:B33)</f>
        <v>20000</v>
      </c>
      <c r="C34" s="58" t="n">
        <f aca="false">SUM(C22:C33)</f>
        <v>0</v>
      </c>
      <c r="D34" s="58" t="n">
        <f aca="false">SUM(D22:D33)</f>
        <v>8600</v>
      </c>
      <c r="E34" s="58" t="n">
        <f aca="false">SUM(E22:E33)</f>
        <v>0</v>
      </c>
      <c r="F34" s="58" t="n">
        <f aca="false">SUM(F22:F33)</f>
        <v>11400</v>
      </c>
      <c r="G34" s="58" t="n">
        <f aca="false">SUM(G22:G33)</f>
        <v>0</v>
      </c>
      <c r="H34" s="58" t="n">
        <f aca="false">SUM(H22:H33)</f>
        <v>-11400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G1"/>
    <mergeCell ref="A2:G2"/>
    <mergeCell ref="A4:F4"/>
    <mergeCell ref="A18:H18"/>
  </mergeCells>
  <conditionalFormatting sqref="G22:G33">
    <cfRule type="cellIs" priority="2" operator="lessThan" aboveAverage="0" equalAverage="0" bottom="0" percent="0" rank="0" text="" dxfId="2">
      <formula>0</formula>
    </cfRule>
  </conditionalFormatting>
  <dataValidations count="1">
    <dataValidation allowBlank="true" errorStyle="stop" operator="between" showDropDown="false" showErrorMessage="false" showInputMessage="false" sqref="B6:B12" type="list">
      <formula1>"収入,支出"</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4"/>
    <col collapsed="false" customWidth="true" hidden="false" outlineLevel="0" max="2" min="2" style="1" width="11"/>
    <col collapsed="false" customWidth="true" hidden="false" outlineLevel="0" max="3" min="3" style="1" width="8"/>
    <col collapsed="false" customWidth="true" hidden="false" outlineLevel="0" max="4" min="4" style="1" width="40"/>
    <col collapsed="false" customWidth="true" hidden="false" outlineLevel="0" max="5" min="5" style="1" width="8"/>
    <col collapsed="false" customWidth="true" hidden="false" outlineLevel="0" max="6" min="6" style="1" width="10"/>
    <col collapsed="false" customWidth="true" hidden="false" outlineLevel="0" max="7" min="7" style="1" width="8"/>
    <col collapsed="false" customWidth="true" hidden="false" outlineLevel="0" max="8" min="8" style="1" width="11"/>
    <col collapsed="false" customWidth="true" hidden="false" outlineLevel="0" max="9" min="9" style="1" width="20"/>
    <col collapsed="false" customWidth="true" hidden="false" outlineLevel="0" max="26" min="10" style="1" width="8.71"/>
  </cols>
  <sheetData>
    <row r="1" customFormat="false" ht="27.75" hidden="false" customHeight="true" outlineLevel="0" collapsed="false">
      <c r="A1" s="13" t="s">
        <v>659</v>
      </c>
      <c r="B1" s="13"/>
      <c r="C1" s="13"/>
      <c r="D1" s="13"/>
      <c r="E1" s="13"/>
      <c r="F1" s="13"/>
      <c r="G1" s="13"/>
      <c r="H1" s="13"/>
      <c r="I1" s="13"/>
    </row>
    <row r="2" customFormat="false" ht="15" hidden="false" customHeight="true" outlineLevel="0" collapsed="false"/>
    <row r="3" customFormat="false" ht="19.5" hidden="false" customHeight="true" outlineLevel="0" collapsed="false">
      <c r="A3" s="14" t="s">
        <v>45</v>
      </c>
      <c r="B3" s="15" t="s">
        <v>660</v>
      </c>
      <c r="C3" s="15" t="s">
        <v>168</v>
      </c>
      <c r="D3" s="15" t="s">
        <v>460</v>
      </c>
      <c r="E3" s="15" t="s">
        <v>661</v>
      </c>
      <c r="F3" s="15" t="s">
        <v>463</v>
      </c>
      <c r="G3" s="15" t="s">
        <v>51</v>
      </c>
      <c r="H3" s="15" t="s">
        <v>662</v>
      </c>
      <c r="I3" s="15" t="s">
        <v>53</v>
      </c>
    </row>
    <row r="4" customFormat="false" ht="30" hidden="false" customHeight="true" outlineLevel="0" collapsed="false">
      <c r="A4" s="17" t="n">
        <v>1</v>
      </c>
      <c r="B4" s="64" t="n">
        <v>46207</v>
      </c>
      <c r="C4" s="20" t="s">
        <v>663</v>
      </c>
      <c r="D4" s="32" t="s">
        <v>664</v>
      </c>
      <c r="E4" s="20" t="s">
        <v>468</v>
      </c>
      <c r="F4" s="20" t="s">
        <v>397</v>
      </c>
      <c r="G4" s="20" t="s">
        <v>59</v>
      </c>
      <c r="H4" s="17"/>
      <c r="I4" s="23"/>
    </row>
    <row r="5" customFormat="false" ht="30" hidden="false" customHeight="true" outlineLevel="0" collapsed="false">
      <c r="A5" s="17" t="n">
        <v>2</v>
      </c>
      <c r="B5" s="64" t="n">
        <v>46207</v>
      </c>
      <c r="C5" s="20" t="s">
        <v>665</v>
      </c>
      <c r="D5" s="25" t="s">
        <v>666</v>
      </c>
      <c r="E5" s="20" t="s">
        <v>468</v>
      </c>
      <c r="F5" s="20" t="s">
        <v>667</v>
      </c>
      <c r="G5" s="20" t="s">
        <v>59</v>
      </c>
      <c r="H5" s="17"/>
      <c r="I5" s="23" t="s">
        <v>668</v>
      </c>
    </row>
    <row r="6" customFormat="false" ht="30" hidden="false" customHeight="true" outlineLevel="0" collapsed="false">
      <c r="A6" s="17" t="n">
        <v>3</v>
      </c>
      <c r="B6" s="64" t="n">
        <v>46207</v>
      </c>
      <c r="C6" s="20" t="s">
        <v>665</v>
      </c>
      <c r="D6" s="18" t="s">
        <v>669</v>
      </c>
      <c r="E6" s="20" t="s">
        <v>670</v>
      </c>
      <c r="F6" s="20" t="s">
        <v>397</v>
      </c>
      <c r="G6" s="20" t="s">
        <v>59</v>
      </c>
      <c r="H6" s="17"/>
      <c r="I6" s="23"/>
    </row>
    <row r="7" customFormat="false" ht="30" hidden="false" customHeight="true" outlineLevel="0" collapsed="false">
      <c r="A7" s="17" t="n">
        <v>4</v>
      </c>
      <c r="B7" s="64" t="n">
        <v>46207</v>
      </c>
      <c r="C7" s="20" t="s">
        <v>665</v>
      </c>
      <c r="D7" s="18" t="s">
        <v>671</v>
      </c>
      <c r="E7" s="20" t="s">
        <v>468</v>
      </c>
      <c r="F7" s="20" t="s">
        <v>397</v>
      </c>
      <c r="G7" s="20" t="s">
        <v>59</v>
      </c>
      <c r="H7" s="17"/>
      <c r="I7" s="23"/>
    </row>
    <row r="8" customFormat="false" ht="30" hidden="false" customHeight="true" outlineLevel="0" collapsed="false">
      <c r="A8" s="17" t="n">
        <v>5</v>
      </c>
      <c r="B8" s="64" t="n">
        <v>46207</v>
      </c>
      <c r="C8" s="20" t="s">
        <v>665</v>
      </c>
      <c r="D8" s="18" t="s">
        <v>672</v>
      </c>
      <c r="E8" s="20" t="s">
        <v>468</v>
      </c>
      <c r="F8" s="20" t="s">
        <v>397</v>
      </c>
      <c r="G8" s="20" t="s">
        <v>59</v>
      </c>
      <c r="H8" s="17"/>
      <c r="I8" s="23"/>
    </row>
    <row r="9" customFormat="false" ht="15" hidden="false" customHeight="true" outlineLevel="0" collapsed="false">
      <c r="A9" s="1" t="n">
        <v>6</v>
      </c>
      <c r="B9" s="65" t="n">
        <v>46207</v>
      </c>
      <c r="C9" s="26" t="s">
        <v>663</v>
      </c>
      <c r="D9" s="1" t="s">
        <v>673</v>
      </c>
      <c r="E9" s="26" t="s">
        <v>670</v>
      </c>
      <c r="F9" s="26" t="s">
        <v>397</v>
      </c>
      <c r="G9" s="26" t="s">
        <v>59</v>
      </c>
    </row>
    <row r="10" customFormat="false" ht="15" hidden="false" customHeight="true" outlineLevel="0" collapsed="false">
      <c r="A10" s="1" t="n">
        <v>7</v>
      </c>
      <c r="B10" s="65" t="n">
        <v>46211</v>
      </c>
      <c r="C10" s="26" t="s">
        <v>665</v>
      </c>
      <c r="D10" s="26" t="s">
        <v>674</v>
      </c>
      <c r="E10" s="26" t="s">
        <v>675</v>
      </c>
      <c r="F10" s="26" t="s">
        <v>397</v>
      </c>
      <c r="G10" s="26" t="s">
        <v>59</v>
      </c>
    </row>
    <row r="11" customFormat="false" ht="15" hidden="false" customHeight="true" outlineLevel="0" collapsed="false">
      <c r="A11" s="1" t="n">
        <v>8</v>
      </c>
      <c r="B11" s="65" t="n">
        <v>46211</v>
      </c>
      <c r="C11" s="26" t="s">
        <v>665</v>
      </c>
      <c r="D11" s="1" t="s">
        <v>676</v>
      </c>
      <c r="E11" s="26" t="s">
        <v>670</v>
      </c>
      <c r="F11" s="26" t="s">
        <v>397</v>
      </c>
      <c r="G11" s="26" t="s">
        <v>59</v>
      </c>
    </row>
    <row r="12" customFormat="false" ht="15" hidden="false" customHeight="true" outlineLevel="0" collapsed="false">
      <c r="A12" s="1" t="n">
        <v>9</v>
      </c>
      <c r="B12" s="65" t="n">
        <v>46211</v>
      </c>
      <c r="C12" s="26" t="s">
        <v>663</v>
      </c>
      <c r="D12" s="26" t="s">
        <v>677</v>
      </c>
      <c r="E12" s="26" t="s">
        <v>670</v>
      </c>
      <c r="F12" s="26" t="s">
        <v>678</v>
      </c>
      <c r="G12" s="26" t="s">
        <v>59</v>
      </c>
    </row>
    <row r="13" customFormat="false" ht="15" hidden="false" customHeight="true" outlineLevel="0" collapsed="false">
      <c r="A13" s="1" t="n">
        <v>10</v>
      </c>
      <c r="B13" s="65" t="n">
        <v>46211</v>
      </c>
      <c r="C13" s="26" t="s">
        <v>665</v>
      </c>
      <c r="D13" s="26" t="s">
        <v>679</v>
      </c>
      <c r="E13" s="26" t="s">
        <v>675</v>
      </c>
      <c r="F13" s="26" t="s">
        <v>667</v>
      </c>
      <c r="G13" s="26" t="s">
        <v>59</v>
      </c>
    </row>
    <row r="14" customFormat="false" ht="15" hidden="false" customHeight="true" outlineLevel="0" collapsed="false">
      <c r="A14" s="1" t="n">
        <v>11</v>
      </c>
      <c r="B14" s="65" t="n">
        <v>46212</v>
      </c>
      <c r="C14" s="26" t="s">
        <v>665</v>
      </c>
      <c r="D14" s="1" t="s">
        <v>680</v>
      </c>
      <c r="E14" s="26" t="s">
        <v>670</v>
      </c>
      <c r="F14" s="26" t="s">
        <v>681</v>
      </c>
      <c r="G14" s="26" t="s">
        <v>59</v>
      </c>
    </row>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I1"/>
  </mergeCells>
  <conditionalFormatting sqref="E4:E8">
    <cfRule type="cellIs" priority="2" operator="equal" aboveAverage="0" equalAverage="0" bottom="0" percent="0" rank="0" text="" dxfId="2">
      <formula>"高"</formula>
    </cfRule>
  </conditionalFormatting>
  <conditionalFormatting sqref="F4:F8">
    <cfRule type="cellIs" priority="3" operator="equal" aboveAverage="0" equalAverage="0" bottom="0" percent="0" rank="0" text="" dxfId="0">
      <formula>"完了"</formula>
    </cfRule>
  </conditionalFormatting>
  <dataValidations count="3">
    <dataValidation allowBlank="true" errorStyle="stop" operator="between" showDropDown="false" showErrorMessage="false" showInputMessage="false" sqref="F4:F8" type="list">
      <formula1>"未着手,対応中,完了,保留"</formula1>
      <formula2>0</formula2>
    </dataValidation>
    <dataValidation allowBlank="true" errorStyle="stop" operator="between" showDropDown="false" showErrorMessage="false" showInputMessage="false" sqref="E4:E8" type="list">
      <formula1>"高,中,低"</formula1>
      <formula2>0</formula2>
    </dataValidation>
    <dataValidation allowBlank="true" errorStyle="stop" operator="between" showDropDown="false" showErrorMessage="false" showInputMessage="false" sqref="C4:C8" type="list">
      <formula1>"課題,リスク"</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2" min="1" style="1" width="12"/>
    <col collapsed="false" customWidth="true" hidden="false" outlineLevel="0" max="3" min="3" style="1" width="10"/>
    <col collapsed="false" customWidth="true" hidden="false" outlineLevel="0" max="4" min="4" style="1" width="55"/>
    <col collapsed="false" customWidth="true" hidden="false" outlineLevel="0" max="26" min="5" style="1" width="8.71"/>
  </cols>
  <sheetData>
    <row r="1" customFormat="false" ht="27.75" hidden="false" customHeight="true" outlineLevel="0" collapsed="false">
      <c r="A1" s="13" t="s">
        <v>682</v>
      </c>
      <c r="B1" s="13"/>
      <c r="C1" s="13"/>
      <c r="D1" s="13"/>
    </row>
    <row r="2" customFormat="false" ht="15" hidden="false" customHeight="true" outlineLevel="0" collapsed="false"/>
    <row r="3" customFormat="false" ht="19.5" hidden="false" customHeight="true" outlineLevel="0" collapsed="false">
      <c r="A3" s="15" t="s">
        <v>683</v>
      </c>
      <c r="B3" s="15" t="s">
        <v>684</v>
      </c>
      <c r="C3" s="15" t="s">
        <v>13</v>
      </c>
      <c r="D3" s="15" t="s">
        <v>685</v>
      </c>
    </row>
    <row r="4" customFormat="false" ht="21.75" hidden="false" customHeight="true" outlineLevel="0" collapsed="false">
      <c r="A4" s="64" t="n">
        <v>46207</v>
      </c>
      <c r="B4" s="20" t="s">
        <v>686</v>
      </c>
      <c r="C4" s="17" t="s">
        <v>14</v>
      </c>
      <c r="D4" s="25" t="s">
        <v>687</v>
      </c>
    </row>
    <row r="5" customFormat="false" ht="21.75" hidden="false" customHeight="true" outlineLevel="0" collapsed="false">
      <c r="A5" s="64" t="n">
        <v>46207</v>
      </c>
      <c r="B5" s="20" t="s">
        <v>686</v>
      </c>
      <c r="C5" s="17" t="s">
        <v>688</v>
      </c>
      <c r="D5" s="18" t="s">
        <v>689</v>
      </c>
    </row>
    <row r="6" customFormat="false" ht="21.75" hidden="false" customHeight="true" outlineLevel="0" collapsed="false">
      <c r="A6" s="64" t="n">
        <v>46207</v>
      </c>
      <c r="B6" s="20" t="s">
        <v>686</v>
      </c>
      <c r="C6" s="17" t="s">
        <v>690</v>
      </c>
      <c r="D6" s="18" t="s">
        <v>691</v>
      </c>
    </row>
    <row r="7" customFormat="false" ht="21.75" hidden="false" customHeight="true" outlineLevel="0" collapsed="false">
      <c r="A7" s="64" t="n">
        <v>46207</v>
      </c>
      <c r="B7" s="20" t="s">
        <v>686</v>
      </c>
      <c r="C7" s="17" t="s">
        <v>692</v>
      </c>
      <c r="D7" s="18" t="s">
        <v>693</v>
      </c>
    </row>
    <row r="8" customFormat="false" ht="21.75" hidden="false" customHeight="true" outlineLevel="0" collapsed="false">
      <c r="A8" s="64" t="n">
        <v>46211</v>
      </c>
      <c r="B8" s="20" t="s">
        <v>686</v>
      </c>
      <c r="C8" s="17" t="s">
        <v>694</v>
      </c>
      <c r="D8" s="18" t="s">
        <v>695</v>
      </c>
    </row>
    <row r="9" customFormat="false" ht="15" hidden="false" customHeight="true" outlineLevel="0" collapsed="false">
      <c r="A9" s="65" t="n">
        <v>46211</v>
      </c>
      <c r="B9" s="26" t="s">
        <v>686</v>
      </c>
      <c r="C9" s="1" t="s">
        <v>696</v>
      </c>
      <c r="D9" s="26" t="s">
        <v>697</v>
      </c>
    </row>
    <row r="10" customFormat="false" ht="15" hidden="false" customHeight="true" outlineLevel="0" collapsed="false">
      <c r="A10" s="65" t="n">
        <v>46211</v>
      </c>
      <c r="B10" s="26" t="s">
        <v>686</v>
      </c>
      <c r="C10" s="1" t="s">
        <v>698</v>
      </c>
      <c r="D10" s="26" t="s">
        <v>699</v>
      </c>
    </row>
    <row r="11" customFormat="false" ht="15" hidden="false" customHeight="true" outlineLevel="0" collapsed="false">
      <c r="A11" s="65" t="n">
        <v>46211</v>
      </c>
      <c r="B11" s="26" t="s">
        <v>686</v>
      </c>
      <c r="C11" s="1" t="s">
        <v>700</v>
      </c>
      <c r="D11" s="26" t="s">
        <v>701</v>
      </c>
    </row>
    <row r="12" customFormat="false" ht="15" hidden="false" customHeight="true" outlineLevel="0" collapsed="false"/>
    <row r="13" customFormat="false" ht="15" hidden="false" customHeight="true" outlineLevel="0" collapsed="false">
      <c r="A13" s="65" t="n">
        <v>46211</v>
      </c>
      <c r="B13" s="26" t="s">
        <v>686</v>
      </c>
      <c r="C13" s="1" t="s">
        <v>702</v>
      </c>
      <c r="D13" s="26" t="s">
        <v>703</v>
      </c>
    </row>
    <row r="14" customFormat="false" ht="15" hidden="false" customHeight="true" outlineLevel="0" collapsed="false">
      <c r="A14" s="65" t="n">
        <v>46211</v>
      </c>
      <c r="B14" s="26" t="s">
        <v>686</v>
      </c>
      <c r="C14" s="1" t="s">
        <v>704</v>
      </c>
      <c r="D14" s="26" t="s">
        <v>705</v>
      </c>
    </row>
    <row r="15" customFormat="false" ht="15" hidden="false" customHeight="true" outlineLevel="0" collapsed="false">
      <c r="A15" s="65" t="n">
        <v>46212</v>
      </c>
      <c r="B15" s="26" t="s">
        <v>686</v>
      </c>
      <c r="C15" s="1" t="s">
        <v>706</v>
      </c>
      <c r="D15" s="26" t="s">
        <v>707</v>
      </c>
    </row>
    <row r="16" customFormat="false" ht="15" hidden="false" customHeight="true" outlineLevel="0" collapsed="false">
      <c r="A16" s="65" t="n">
        <v>46212</v>
      </c>
      <c r="B16" s="26" t="s">
        <v>686</v>
      </c>
      <c r="C16" s="1" t="s">
        <v>708</v>
      </c>
      <c r="D16" s="26" t="s">
        <v>709</v>
      </c>
    </row>
    <row r="17" customFormat="false" ht="15" hidden="false" customHeight="true" outlineLevel="0" collapsed="false">
      <c r="A17" s="65" t="n">
        <v>46212</v>
      </c>
      <c r="B17" s="26" t="s">
        <v>686</v>
      </c>
      <c r="C17" s="1" t="s">
        <v>710</v>
      </c>
      <c r="D17" s="26" t="s">
        <v>711</v>
      </c>
    </row>
    <row r="18" customFormat="false" ht="15" hidden="false" customHeight="true" outlineLevel="0" collapsed="false">
      <c r="A18" s="65" t="n">
        <v>46212</v>
      </c>
      <c r="B18" s="26" t="s">
        <v>686</v>
      </c>
      <c r="C18" s="1" t="s">
        <v>712</v>
      </c>
      <c r="D18" s="26" t="s">
        <v>713</v>
      </c>
    </row>
    <row r="19" customFormat="false" ht="15" hidden="false" customHeight="true" outlineLevel="0" collapsed="false">
      <c r="A19" s="65" t="n">
        <v>46212</v>
      </c>
      <c r="B19" s="26" t="s">
        <v>686</v>
      </c>
      <c r="C19" s="1" t="s">
        <v>714</v>
      </c>
      <c r="D19" s="26" t="s">
        <v>715</v>
      </c>
    </row>
    <row r="20" customFormat="false" ht="15" hidden="false" customHeight="true" outlineLevel="0" collapsed="false">
      <c r="A20" s="65" t="n">
        <v>46212</v>
      </c>
      <c r="B20" s="26" t="s">
        <v>686</v>
      </c>
      <c r="C20" s="1" t="s">
        <v>716</v>
      </c>
      <c r="D20" s="26" t="s">
        <v>717</v>
      </c>
    </row>
    <row r="21" customFormat="false" ht="15.75" hidden="false" customHeight="true" outlineLevel="0" collapsed="false">
      <c r="A21" s="65" t="n">
        <v>46212</v>
      </c>
      <c r="B21" s="26" t="s">
        <v>686</v>
      </c>
      <c r="C21" s="1" t="s">
        <v>718</v>
      </c>
      <c r="D21" s="26" t="s">
        <v>719</v>
      </c>
    </row>
    <row r="22" customFormat="false" ht="15.75" hidden="false" customHeight="true" outlineLevel="0" collapsed="false">
      <c r="A22" s="65" t="n">
        <v>46212</v>
      </c>
      <c r="B22" s="26" t="s">
        <v>686</v>
      </c>
      <c r="C22" s="1" t="s">
        <v>720</v>
      </c>
      <c r="D22" s="26" t="s">
        <v>721</v>
      </c>
    </row>
    <row r="23" customFormat="false" ht="15.75" hidden="false" customHeight="true" outlineLevel="0" collapsed="false">
      <c r="A23" s="66" t="n">
        <v>46212</v>
      </c>
      <c r="B23" s="67" t="s">
        <v>722</v>
      </c>
      <c r="C23" s="1" t="s">
        <v>723</v>
      </c>
      <c r="D23" s="67" t="s">
        <v>724</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2026-07-04T02:12:43Z</dcterms:created>
  <dc:creator>openpyxl</dc:creator>
  <dc:description/>
  <dc:language>en-US</dc:language>
  <cp:lastModifiedBy/>
  <dcterms:modified xsi:type="dcterms:W3CDTF">2026-07-10T08:32:44Z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